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Τεκμηρίωση" sheetId="1" r:id="rId1"/>
    <sheet name="Σύνοψη" sheetId="2" r:id="rId2"/>
    <sheet name="Προσαρμοσμένα υπόλοιπα" sheetId="3" r:id="rId3"/>
    <sheet name="Διαφορές" sheetId="4" r:id="rId4"/>
    <sheet name="Ομάδες" sheetId="5" r:id="rId5"/>
    <sheet name="Μόνο στο A" sheetId="6" r:id="rId6"/>
    <sheet name="Μόνο στο B" sheetId="7" r:id="rId7"/>
    <sheet name="Συμφωνούν" sheetId="8" r:id="rId8"/>
  </sheets>
  <definedNames>
    <definedName name="_xlnm._FilterDatabase" localSheetId="3">'Διαφορές'!A1:L1</definedName>
    <definedName name="_xlnm._FilterDatabase" localSheetId="5">'Μόνο στο A'!A1:K2</definedName>
    <definedName name="_xlnm._FilterDatabase" localSheetId="6">'Μόνο στο B'!A1:K1</definedName>
    <definedName name="_xlnm._FilterDatabase" localSheetId="7">'Συμφωνούν'!A1:L2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5" formatCode="#,##0.00\ &quot;€&quot;"/>
    <numFmt numFmtId="166" formatCode="#,##0.00\ &quot;€&quot;"/>
    <numFmt numFmtId="167" formatCode="#,##0.00\ &quot;€&quot;"/>
  </numFmts>
  <fonts count="8" x14ac:knownFonts="1">
    <font>
      <sz val="11"/>
      <name val="Calibri"/>
    </font>
    <font>
      <sz val="11"/>
      <name val="Calibri"/>
    </font>
    <font>
      <sz val="13"/>
      <name val="Calibri"/>
      <b/>
      <color rgb="1B75BB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</font>
    <font>
      <sz val="11"/>
      <name val="Calibri"/>
      <b/>
    </font>
    <font>
      <sz val="11"/>
      <name val="Calibri"/>
      <color rgb="C0392B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69FEC"/>
        <bgColor/>
      </patternFill>
    </fill>
    <fill>
      <patternFill patternType="solid">
        <fgColor rgb="FF069FEC"/>
        <bgColor/>
      </patternFill>
    </fill>
    <fill>
      <patternFill patternType="solid">
        <fgColor rgb="FFE9F4DA"/>
        <bgColor/>
      </patternFill>
    </fill>
    <fill>
      <patternFill patternType="solid">
        <fgColor rgb="FFE9F4DA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165" fontId="0" fillId="0" borderId="0" xfId="0" applyNumberFormat="1"/>
    <xf numFmtId="0" fontId="5" fillId="4" borderId="0" xfId="0" applyFont="1" applyFill="1"/>
    <xf numFmtId="166" fontId="6" fillId="5" borderId="0" xfId="0" applyFont="1" applyFill="1" applyNumberFormat="1"/>
    <xf numFmtId="167" fontId="7" fillId="0" borderId="0" xfId="0" applyFont="1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cols>
    <col min="1" max="1" width="30.83203125" customWidth="1"/>
    <col min="2" max="2" width="44.83203125" customWidth="1"/>
    <col min="3" max="3" width="16.83203125" customWidth="1"/>
    <col min="4" max="4" width="24.83203125" customWidth="1"/>
  </cols>
  <sheetData>
    <row r="1">
      <c r="A1" s="3" t="str">
        <v>ΤΕΚΜΗΡΙΩΣΗ ΣΥΜΦΩΝΙΑΣ</v>
      </c>
    </row>
    <row r="2">
      <c r="A2" s="2" t="str">
        <v/>
      </c>
    </row>
    <row r="3">
      <c r="A3" s="2" t="str">
        <v>Οργανισμός</v>
      </c>
      <c r="B3" s="2" t="str">
        <v>ΟΚΥπΥ / SHSO</v>
      </c>
    </row>
    <row r="4">
      <c r="A4" s="2" t="str">
        <v>Τύπος συμφωνίας</v>
      </c>
      <c r="B4" s="2" t="str">
        <v>Γενική σύγκριση δύο αρχείων</v>
      </c>
    </row>
    <row r="5">
      <c r="A5" s="2" t="str">
        <v>Ημερομηνία εκτέλεσης</v>
      </c>
      <c r="B5" s="2" t="str">
        <v>16/10/2026 04:29</v>
      </c>
    </row>
    <row r="6">
      <c r="A6" s="2" t="str">
        <v>Συντάκτης</v>
      </c>
      <c r="B6" s="2" t="str">
        <v/>
      </c>
    </row>
    <row r="7">
      <c r="A7" s="2" t="str">
        <v>Ελεγκτής (υπογραφή)</v>
      </c>
      <c r="B7" s="2" t="str">
        <v/>
      </c>
    </row>
    <row r="8">
      <c r="A8" s="2" t="str">
        <v/>
      </c>
    </row>
    <row r="9">
      <c r="A9" s="2" t="str">
        <v>Αρχείο A</v>
      </c>
      <c r="B9" s="2" t="str">
        <v>pos_A.xlsx</v>
      </c>
      <c r="C9" s="2" t="str">
        <v>Φύλλο</v>
      </c>
      <c r="D9" s="2" t="str">
        <v>Activity_report_SIMPLE</v>
      </c>
    </row>
    <row r="10">
      <c r="A10" s="2" t="str">
        <v>Αρχείο B</v>
      </c>
      <c r="B10" s="2" t="str">
        <v>pos_B.csv</v>
      </c>
      <c r="C10" s="2" t="str">
        <v>Φύλλο</v>
      </c>
      <c r="D10" s="2" t="str">
        <v>Sheet1</v>
      </c>
    </row>
    <row r="11">
      <c r="A11" s="2" t="str">
        <v>Κλειδιά A</v>
      </c>
      <c r="B11" s="2" t="str">
        <v/>
      </c>
      <c r="C11" s="2" t="str">
        <v>Ποσό A</v>
      </c>
      <c r="D11" s="2" t="str">
        <v>Debit</v>
      </c>
    </row>
    <row r="12">
      <c r="A12" s="2" t="str">
        <v>Κλειδιά B</v>
      </c>
      <c r="B12" s="2" t="str">
        <v/>
      </c>
      <c r="C12" s="2" t="str">
        <v>Ποσό B</v>
      </c>
      <c r="D12" s="2" t="str">
        <v>Debit Amount in local currency</v>
      </c>
    </row>
    <row r="13">
      <c r="A13" s="2" t="str">
        <v>Στήλη πίστωσης A / B (αφαιρείται)</v>
      </c>
      <c r="B13" s="2" t="str">
        <v>Credit / Credit Amount in local currency</v>
      </c>
      <c r="C13" s="2" t="str">
        <v>Ημ/νία A / B</v>
      </c>
      <c r="D13" s="2" t="str">
        <v>Date / Document Date</v>
      </c>
    </row>
    <row r="14">
      <c r="A14" s="2" t="str">
        <v>Στήλη περιγραφής A / B</v>
      </c>
      <c r="B14" s="2" t="str">
        <v>Description / Text</v>
      </c>
    </row>
    <row r="15">
      <c r="A15" s="2" t="str">
        <v>Όριο ανοχής</v>
      </c>
      <c r="B15" s="2">
        <v>0.01</v>
      </c>
      <c r="C15" s="2" t="str">
        <v>Αντιστροφή προσήμου B</v>
      </c>
      <c r="D15" s="2" t="str">
        <v>Ναι</v>
      </c>
    </row>
    <row r="16">
      <c r="A16" s="2" t="str">
        <v>Χωρίς κοινό κλειδί (ανά γραμμή)</v>
      </c>
      <c r="B16" s="2" t="str">
        <v>Ναι</v>
      </c>
      <c r="C16" s="2" t="str">
        <v>Παράθυρο (± ημ.)</v>
      </c>
      <c r="D16" s="2" t="str">
        <v>3</v>
      </c>
    </row>
    <row r="17">
      <c r="A17" s="2" t="str">
        <v>Γραμμές χωρίς κλειδί — σε ταίριασμα γραμμής (A / B)</v>
      </c>
      <c r="B17" s="2" t="str">
        <v>0 / 0</v>
      </c>
    </row>
    <row r="18">
      <c r="A18" s="2" t="str">
        <v>Γραμμές γενικού συνόλου που εξαιρέθηκαν (A / B)</v>
      </c>
      <c r="B18" s="2" t="str">
        <v>0 (0,00) / 0 (0,00)</v>
      </c>
    </row>
    <row r="19">
      <c r="A19" s="2" t="str">
        <v>Γραμμές χωρίς ποσό (A / B)</v>
      </c>
      <c r="B19" s="2" t="str">
        <v>0 / 1</v>
      </c>
      <c r="C19" s="2" t="str">
        <v>Πιθανές διπλοεγγραφές (A / B)</v>
      </c>
      <c r="D19" s="2" t="str">
        <v>3 / 0</v>
      </c>
    </row>
    <row r="20">
      <c r="A20" s="2" t="str">
        <v/>
      </c>
    </row>
    <row r="21">
      <c r="A21" s="2" t="str">
        <v>Πέρασμα 2 (ποσό+ημ/νία)</v>
      </c>
      <c r="B21" s="2" t="str">
        <v>Όχι</v>
      </c>
      <c r="C21" s="2" t="str">
        <v>Παράθυρο (± ημ.)</v>
      </c>
      <c r="D21" s="2" t="str">
        <v>7</v>
      </c>
    </row>
    <row r="22">
      <c r="A22" s="2" t="str">
        <v>Πέρασμα 3 (ομοιότητα)</v>
      </c>
      <c r="B22" s="2" t="str">
        <v>Όχι</v>
      </c>
      <c r="C22" s="2" t="str">
        <v>Πέρασμα 4 (προσέγγιση ±%)</v>
      </c>
      <c r="D22" s="2" t="str">
        <v>Όχι / 2%</v>
      </c>
    </row>
    <row r="23">
      <c r="A23" s="2" t="str">
        <v>Εκκαθαρίσεις καρτών JCC/POS (προμήθεια % / ± ημέρες)</v>
      </c>
      <c r="B23" s="2" t="str">
        <v>Ναι / 1% / 4</v>
      </c>
    </row>
    <row r="24">
      <c r="A24" s="2" t="str">
        <v>Προτάσεις επιμερισμού</v>
      </c>
      <c r="B24" s="2" t="str">
        <v>Ναι</v>
      </c>
      <c r="C24" s="2" t="str">
        <v>Μέγ. συνδυασμός</v>
      </c>
      <c r="D24" s="2">
        <v>4</v>
      </c>
    </row>
    <row r="25">
      <c r="A25" s="2" t="str">
        <v>Ομάδες: προτάθηκαν / αποδεκτές / χειροκίνητες</v>
      </c>
      <c r="B25" s="2" t="str">
        <v>2 / 2 / 2</v>
      </c>
    </row>
    <row r="26">
      <c r="A26" s="2" t="str">
        <v>Προηγούμενη περίοδος</v>
      </c>
      <c r="B26" s="2" t="str">
        <v>—</v>
      </c>
      <c r="C26" s="2" t="str">
        <v>Μεταφερόμενα / τακτοποιημένα από προηγ. περίοδο</v>
      </c>
      <c r="D26" s="2" t="str">
        <v>—</v>
      </c>
    </row>
    <row r="27">
      <c r="A27" s="2" t="str">
        <v>Η αναζήτηση συνδυασμών διακόπηκε</v>
      </c>
      <c r="B27" s="2" t="str">
        <v>Όχι</v>
      </c>
    </row>
    <row r="28">
      <c r="A28" s="2" t="str">
        <v/>
      </c>
    </row>
    <row r="29">
      <c r="A29" s="2" t="str">
        <v>Μέθοδος: άθροιση ανά κλειδί, σύγκριση εντός ορίου· γραμμές χωρίς κλειδί ταιριάζονται ανά γραμμή (ποσό+ημ/νία)· γραμμές γενικού συνόλου εξαιρούνται· έπειτα προαιρετικά περάσματα και προτάσεις επιμερισμού 1-προς-Ν με έγκριση χρήστη.</v>
      </c>
    </row>
    <row r="30">
      <c r="A30" s="2" t="str">
        <v>Κατηγορίες εκκρεμών: Χρονική διαφορά / Απαιτείται εγγραφή / Προς διερεύνηση.</v>
      </c>
    </row>
    <row r="31">
      <c r="A31" s="2" t="str">
        <v>Παλαίωση: 0-30 τρέχον, 31-60 σε εξέλιξη, 61-90 κλιμάκωση, 90+ σε διοίκηση.</v>
      </c>
    </row>
  </sheetData>
  <ignoredErrors>
    <ignoredError numberStoredAsText="1" sqref="A1:D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cols>
    <col min="1" max="1" width="56.83203125" customWidth="1"/>
    <col min="2" max="2" width="18.83203125" customWidth="1"/>
    <col min="3" max="3" width="18.83203125" customWidth="1"/>
  </cols>
  <sheetData>
    <row r="1">
      <c r="A1" s="3" t="str">
        <v>ΣΥΝΟΨΗ ΣΥΜΦΩΝΙΑΣ</v>
      </c>
      <c r="B1" s="2" t="str">
        <v/>
      </c>
      <c r="C1" s="2" t="str">
        <v/>
      </c>
    </row>
    <row r="2">
      <c r="A2" s="2" t="str">
        <v/>
      </c>
      <c r="B2" s="2" t="str">
        <v/>
      </c>
    </row>
    <row r="3">
      <c r="A3" s="4" t="str">
        <v>Κατηγορία</v>
      </c>
      <c r="B3" s="5" t="str">
        <v>Πλήθος</v>
      </c>
      <c r="C3" s="5" t="str">
        <v>Ποσό διαφοράς (€)</v>
      </c>
    </row>
    <row r="4">
      <c r="A4" s="2" t="str">
        <v>Συμφωνούν</v>
      </c>
      <c r="B4" s="2">
        <f>COUNTA('Συμφωνούν'!A2:A100000)</f>
        <v>1</v>
      </c>
      <c r="C4" s="6">
        <f>SUM('Συμφωνούν'!G:G)</f>
        <v>0</v>
      </c>
    </row>
    <row r="5">
      <c r="A5" s="2" t="str">
        <v>Διαφορές</v>
      </c>
      <c r="B5" s="2">
        <f>COUNTA('Διαφορές'!A2:A100000)</f>
        <v>0</v>
      </c>
      <c r="C5" s="6">
        <f>SUM('Διαφορές'!G:G)</f>
        <v>0</v>
      </c>
    </row>
    <row r="6">
      <c r="A6" s="2" t="str">
        <v>Μόνο στο A</v>
      </c>
      <c r="B6" s="2">
        <f>COUNTA('Μόνο στο A'!A2:A100000)</f>
        <v>1</v>
      </c>
      <c r="C6" s="6">
        <f>SUM('Μόνο στο A'!G:G)</f>
        <v>-250</v>
      </c>
    </row>
    <row r="7">
      <c r="A7" s="2" t="str">
        <v>Μόνο στο B</v>
      </c>
      <c r="B7" s="2">
        <f>COUNTA('Μόνο στο B'!A2:A100000)</f>
        <v>0</v>
      </c>
      <c r="C7" s="6">
        <f>SUM('Μόνο στο B'!G:G)</f>
        <v>0</v>
      </c>
    </row>
    <row r="8">
      <c r="A8" s="2" t="str">
        <v>Ομάδες (αποδεκτές)</v>
      </c>
      <c r="B8" s="2">
        <f>COUNTA('Ομάδες'!A2:A100000)</f>
        <v>2</v>
      </c>
      <c r="C8" s="6">
        <f>SUM('Ομάδες'!G:G)</f>
        <v>11.729999999999905</v>
      </c>
    </row>
    <row r="9">
      <c r="A9" s="2" t="str">
        <v/>
      </c>
      <c r="B9" s="2" t="str">
        <v/>
      </c>
    </row>
    <row r="10">
      <c r="A10" s="2" t="str">
        <v>Σύνολο A</v>
      </c>
      <c r="B10" s="6">
        <f>SUM('Συμφωνούν'!E:E)+SUM('Διαφορές'!E:E)+SUM('Μόνο στο A'!E:E)+SUM('Ομάδες'!E:E)</f>
        <v>-3216.08</v>
      </c>
    </row>
    <row r="11">
      <c r="A11" s="2" t="str">
        <v>Σύνολο B</v>
      </c>
      <c r="B11" s="6">
        <f>SUM('Συμφωνούν'!F:F)+SUM('Διαφορές'!F:F)+SUM('Μόνο στο B'!F:F)+SUM('Ομάδες'!F:F)</f>
        <v>-2977.81</v>
      </c>
    </row>
    <row r="12">
      <c r="A12" s="2" t="str">
        <v>Καθαρή διαφορά</v>
      </c>
      <c r="B12" s="6">
        <f>B10-B11</f>
        <v>-238.26999999999998</v>
      </c>
    </row>
    <row r="13">
      <c r="A13" s="2" t="str">
        <v/>
      </c>
      <c r="B13" s="2" t="str">
        <v/>
      </c>
    </row>
    <row r="14">
      <c r="A14" s="7" t="str">
        <v>Έλεγχος: Καθαρή διαφορά = Διαφορές + Μόνο A + Μόνο B + Ομάδες</v>
      </c>
      <c r="B14" s="8">
        <f>ROUND(B12-(C5+C6+C7+C8),2)</f>
        <v>0</v>
      </c>
    </row>
  </sheetData>
  <ignoredErrors>
    <ignoredError numberStoredAsText="1" sqref="A1:C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58.83203125" customWidth="1"/>
    <col min="2" max="2" width="18.83203125" customWidth="1"/>
  </cols>
  <sheetData>
    <row r="1">
      <c r="A1" s="3" t="str">
        <v>ΠΡΟΣΑΡΜΟΣΜΕΝΑ ΥΠΟΛΟΙΠΑ</v>
      </c>
      <c r="B1" s="2" t="str">
        <v/>
      </c>
    </row>
    <row r="2">
      <c r="A2" s="2" t="str">
        <v/>
      </c>
      <c r="B2" s="2" t="str">
        <v/>
      </c>
    </row>
    <row r="3">
      <c r="A3" s="2" t="str">
        <v>Υπόλοιπο B — Πλευρά B</v>
      </c>
      <c r="B3" s="6">
        <f>SUM('Συμφωνούν'!F:F)+SUM('Διαφορές'!F:F)+SUM('Μόνο στο B'!F:F)+SUM('Ομάδες'!F:F)</f>
        <v>-2977.81</v>
      </c>
    </row>
    <row r="4">
      <c r="A4" s="2" t="str">
        <v>Πλέον/μείον: εγγραφές μόνο στην πλευρά A</v>
      </c>
      <c r="B4" s="6">
        <f>SUM('Μόνο στο A'!E:E)</f>
        <v>-250</v>
      </c>
    </row>
    <row r="5">
      <c r="A5" s="2" t="str">
        <v>Προσαρμοσμένο υπόλοιπο B</v>
      </c>
      <c r="B5" s="6">
        <f>B3+B4</f>
        <v>-3227.81</v>
      </c>
    </row>
    <row r="6">
      <c r="A6" s="2" t="str">
        <v/>
      </c>
      <c r="B6" s="2" t="str">
        <v/>
      </c>
    </row>
    <row r="7">
      <c r="A7" s="2" t="str">
        <v>Υπόλοιπο A — Πλευρά A</v>
      </c>
      <c r="B7" s="6">
        <f>SUM('Συμφωνούν'!E:E)+SUM('Διαφορές'!E:E)+SUM('Μόνο στο A'!E:E)+SUM('Ομάδες'!E:E)</f>
        <v>-3216.08</v>
      </c>
    </row>
    <row r="8">
      <c r="A8" s="2" t="str">
        <v>Πλέον/μείον: εγγραφές μόνο στην πλευρά B</v>
      </c>
      <c r="B8" s="6">
        <f>SUM('Μόνο στο B'!F:F)</f>
        <v>0</v>
      </c>
    </row>
    <row r="9">
      <c r="A9" s="2" t="str">
        <v>Προσαρμοσμένο υπόλοιπο A</v>
      </c>
      <c r="B9" s="6">
        <f>B7+B8</f>
        <v>-3216.08</v>
      </c>
    </row>
    <row r="10">
      <c r="A10" s="2" t="str">
        <v/>
      </c>
      <c r="B10" s="2" t="str">
        <v/>
      </c>
    </row>
    <row r="11">
      <c r="A11" s="2" t="str">
        <v>Υπόλοιπο προς διερεύνηση (φύλλα Διαφορές/Συμφωνούν/Ομάδες)</v>
      </c>
      <c r="B11" s="6">
        <f>ROUND(B9-B5-SUM('Διαφορές'!G:G)-SUM('Συμφωνούν'!G:G)-SUM('Ομάδες'!G:G),2)</f>
        <v>0</v>
      </c>
    </row>
  </sheetData>
  <ignoredErrors>
    <ignoredError numberStoredAsText="1" sqref="A1:B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cols>
    <col min="1" max="1" width="28.83203125" customWidth="1"/>
    <col min="2" max="2" width="30.83203125" customWidth="1"/>
    <col min="3" max="3" width="30.83203125" customWidth="1"/>
    <col min="4" max="4" width="11.83203125" customWidth="1"/>
    <col min="5" max="5" width="14.83203125" customWidth="1"/>
    <col min="6" max="6" width="14.83203125" customWidth="1"/>
    <col min="7" max="7" width="14.83203125" customWidth="1"/>
    <col min="8" max="8" width="9.83203125" customWidth="1"/>
    <col min="9" max="9" width="8.83203125" customWidth="1"/>
    <col min="10" max="10" width="8.83203125" customWidth="1"/>
    <col min="11" max="11" width="22.83203125" customWidth="1"/>
    <col min="12" max="12" width="12.83203125" customWidth="1"/>
  </cols>
  <sheetData>
    <row r="1">
      <c r="A1" s="5" t="str">
        <v>Κλειδί</v>
      </c>
      <c r="B1" s="5" t="str">
        <v>Περιγραφή A</v>
      </c>
      <c r="C1" s="5" t="str">
        <v>Περιγραφή B</v>
      </c>
      <c r="D1" s="5" t="str">
        <v>Ημ/νία</v>
      </c>
      <c r="E1" s="5" t="str">
        <v>Ποσό A</v>
      </c>
      <c r="F1" s="5" t="str">
        <v>Ποσό B</v>
      </c>
      <c r="G1" s="5" t="str">
        <v>Διαφορά</v>
      </c>
      <c r="H1" s="5" t="str">
        <v>Ηλικία (ημ.)</v>
      </c>
      <c r="I1" s="5" t="str">
        <v>Γραμμές A</v>
      </c>
      <c r="J1" s="5" t="str">
        <v>Γραμμές B</v>
      </c>
      <c r="K1" s="5" t="str">
        <v>Κατηγορία</v>
      </c>
      <c r="L1" s="5" t="str">
        <v>Κανόνας</v>
      </c>
    </row>
  </sheetData>
  <autoFilter ref="A1:L1"/>
  <ignoredErrors>
    <ignoredError numberStoredAsText="1" sqref="A1:L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cols>
    <col min="1" max="1" width="8.83203125" customWidth="1"/>
    <col min="2" max="2" width="28.83203125" customWidth="1"/>
    <col min="3" max="3" width="30.83203125" customWidth="1"/>
    <col min="4" max="4" width="11.83203125" customWidth="1"/>
    <col min="5" max="5" width="14.83203125" customWidth="1"/>
    <col min="6" max="6" width="14.83203125" customWidth="1"/>
    <col min="7" max="7" width="14.83203125" customWidth="1"/>
    <col min="8" max="8" width="12.83203125" customWidth="1"/>
  </cols>
  <sheetData>
    <row r="1">
      <c r="A1" s="5" t="str">
        <v>Ομάδα</v>
      </c>
      <c r="B1" s="5" t="str">
        <v>Κλειδί</v>
      </c>
      <c r="C1" s="5" t="str">
        <v>Περιγραφή</v>
      </c>
      <c r="D1" s="5" t="str">
        <v>Ημ/νία</v>
      </c>
      <c r="E1" s="5" t="str">
        <v>Ποσό A</v>
      </c>
      <c r="F1" s="5" t="str">
        <v>Ποσό B</v>
      </c>
      <c r="G1" s="5" t="str">
        <v>Διαφορά</v>
      </c>
      <c r="H1" s="5" t="str">
        <v>Κανόνας</v>
      </c>
    </row>
    <row r="2">
      <c r="A2" s="2">
        <v>1</v>
      </c>
      <c r="B2" s="2" t="str">
        <v>#1</v>
      </c>
      <c r="C2" s="2" t="str">
        <v>VISA 03.08.2026</v>
      </c>
      <c r="D2" s="2" t="str">
        <v>03/08/2026</v>
      </c>
      <c r="F2" s="6">
        <v>-1496.41</v>
      </c>
      <c r="G2" s="6">
        <f>SUM(E2:E9)-SUM(F2:F9)</f>
        <v>6.119999999999891</v>
      </c>
      <c r="H2" s="2" t="str">
        <v>Εκκαθάριση καρτών JCC/POS</v>
      </c>
    </row>
    <row r="3">
      <c r="B3" s="2" t="str">
        <v>#5</v>
      </c>
      <c r="C3" s="2" t="str">
        <v>0034046052 NOSOKOMIO ARCH. MAKARIOS Remittance Num 0240 Trace 8210</v>
      </c>
      <c r="D3" s="2" t="str">
        <v>04/08/2026</v>
      </c>
      <c r="E3" s="6">
        <v>-500</v>
      </c>
    </row>
    <row r="4">
      <c r="B4" s="2" t="str">
        <v>#4</v>
      </c>
      <c r="C4" s="2" t="str">
        <v>0034046052 NOSOKOMIO ARCH. MAKARIOS Remittance Num 0240 Trace 8210</v>
      </c>
      <c r="D4" s="2" t="str">
        <v>04/08/2026</v>
      </c>
      <c r="E4" s="6">
        <v>-386.41</v>
      </c>
    </row>
    <row r="5">
      <c r="B5" s="2" t="str">
        <v>#6</v>
      </c>
      <c r="C5" s="2" t="str">
        <v>0034046052 NOSOKOMIO ARCH. MAKARIOS Remittance Num 0240 Trace 8210</v>
      </c>
      <c r="D5" s="2" t="str">
        <v>04/08/2026</v>
      </c>
      <c r="E5" s="6">
        <v>-250</v>
      </c>
    </row>
    <row r="6">
      <c r="B6" s="2" t="str">
        <v>#7</v>
      </c>
      <c r="C6" s="2" t="str">
        <v>0034046052 NOSOKOMIO ARCH. MAKARIOS Remittance Num 0240 Trace 8210</v>
      </c>
      <c r="D6" s="2" t="str">
        <v>04/08/2026</v>
      </c>
      <c r="E6" s="6">
        <v>-200</v>
      </c>
    </row>
    <row r="7">
      <c r="B7" s="2" t="str">
        <v>#3</v>
      </c>
      <c r="C7" s="2" t="str">
        <v>0034046052 NOSOKOMIO ARCH. MAKARIOS Remittance Num 0240 Trace 8210</v>
      </c>
      <c r="D7" s="2" t="str">
        <v>04/08/2026</v>
      </c>
      <c r="E7" s="6">
        <v>-79.68</v>
      </c>
    </row>
    <row r="8">
      <c r="B8" s="2" t="str">
        <v>#8</v>
      </c>
      <c r="C8" s="2" t="str">
        <v>0034046052 NOSOKOMIO ARCH. MAKARIOS Remittance Num 0240 Trace 8210</v>
      </c>
      <c r="D8" s="2" t="str">
        <v>04/08/2026</v>
      </c>
      <c r="E8" s="6">
        <v>-41.73</v>
      </c>
    </row>
    <row r="9">
      <c r="B9" s="2" t="str">
        <v>#2</v>
      </c>
      <c r="C9" s="2" t="str">
        <v>0034046052 NOSOKOMIO ARCH. MAKARIOS Remittance Num 0240 Trace 8210</v>
      </c>
      <c r="D9" s="2" t="str">
        <v>04/08/2026</v>
      </c>
      <c r="E9" s="6">
        <v>-32.47</v>
      </c>
    </row>
    <row r="10">
      <c r="A10" s="2">
        <v>2</v>
      </c>
      <c r="B10" s="2" t="str">
        <v>#3</v>
      </c>
      <c r="C10" s="2" t="str">
        <v>ΕΚΚΑΘΑΡΙΣΗ VISA. 4/8/2026</v>
      </c>
      <c r="D10" s="2" t="str">
        <v>04/08/2026</v>
      </c>
      <c r="F10" s="6">
        <v>-981.4</v>
      </c>
      <c r="G10" s="6">
        <f>SUM(E10:E18)-SUM(F10:F18)</f>
        <v>5.610000000000014</v>
      </c>
      <c r="H10" s="2" t="str">
        <v>Εκκαθάριση καρτών JCC/POS</v>
      </c>
    </row>
    <row r="11">
      <c r="B11" s="2" t="str">
        <v>#12</v>
      </c>
      <c r="C11" s="2" t="str">
        <v>0034046052 NOSOKOMIO ARCH. MAKARIOS Remittance Num 0240 Trace 8210</v>
      </c>
      <c r="D11" s="2" t="str">
        <v>05/08/2026</v>
      </c>
      <c r="E11" s="6">
        <v>-300</v>
      </c>
    </row>
    <row r="12">
      <c r="B12" s="2" t="str">
        <v>#11</v>
      </c>
      <c r="C12" s="2" t="str">
        <v>0034046052 NOSOKOMIO ARCH. MAKARIOS Remittance Num 0240 Trace 8210</v>
      </c>
      <c r="D12" s="2" t="str">
        <v>05/08/2026</v>
      </c>
      <c r="E12" s="6">
        <v>-200</v>
      </c>
    </row>
    <row r="13">
      <c r="B13" s="2" t="str">
        <v>#13</v>
      </c>
      <c r="C13" s="2" t="str">
        <v>0034046052 NOSOKOMIO ARCH. MAKARIOS Remittance Num 0240 Trace 8210</v>
      </c>
      <c r="D13" s="2" t="str">
        <v>05/08/2026</v>
      </c>
      <c r="E13" s="6">
        <v>-150</v>
      </c>
    </row>
    <row r="14">
      <c r="B14" s="2" t="str">
        <v>#10</v>
      </c>
      <c r="C14" s="2" t="str">
        <v>0034046052 NOSOKOMIO ARCH. MAKARIOS Remittance Num 0240 Trace 8210</v>
      </c>
      <c r="D14" s="2" t="str">
        <v>05/08/2026</v>
      </c>
      <c r="E14" s="6">
        <v>-100</v>
      </c>
    </row>
    <row r="15">
      <c r="B15" s="2" t="str">
        <v>#14</v>
      </c>
      <c r="C15" s="2" t="str">
        <v>0034046052 NOSOKOMIO ARCH. MAKARIOS Remittance Num 0240 Trace 8210</v>
      </c>
      <c r="D15" s="2" t="str">
        <v>05/08/2026</v>
      </c>
      <c r="E15" s="6">
        <v>-100</v>
      </c>
    </row>
    <row r="16">
      <c r="B16" s="2" t="str">
        <v>#15</v>
      </c>
      <c r="C16" s="2" t="str">
        <v>0034046052 NOSOKOMIO ARCH. MAKARIOS Remittance Num 0240 Trace 8210</v>
      </c>
      <c r="D16" s="2" t="str">
        <v>05/08/2026</v>
      </c>
      <c r="E16" s="6">
        <v>-75.79</v>
      </c>
    </row>
    <row r="17">
      <c r="B17" s="2" t="str">
        <v>#16</v>
      </c>
      <c r="C17" s="2" t="str">
        <v>0034046052 NOSOKOMIO ARCH. MAKARIOS Remittance Num 0240 Trace 8210</v>
      </c>
      <c r="D17" s="2" t="str">
        <v>05/08/2026</v>
      </c>
      <c r="E17" s="6">
        <v>-25</v>
      </c>
    </row>
    <row r="18">
      <c r="B18" s="2" t="str">
        <v>#17</v>
      </c>
      <c r="C18" s="2" t="str">
        <v>0034046052 NOSOKOMIO ARCH. MAKARIOS Remittance Num 0240 Trace 8210</v>
      </c>
      <c r="D18" s="2" t="str">
        <v>05/08/2026</v>
      </c>
      <c r="E18" s="6">
        <v>-25</v>
      </c>
    </row>
  </sheetData>
  <ignoredErrors>
    <ignoredError numberStoredAsText="1" sqref="A1:H1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28.83203125" customWidth="1"/>
    <col min="2" max="2" width="30.83203125" customWidth="1"/>
    <col min="3" max="3" width="30.83203125" customWidth="1"/>
    <col min="4" max="4" width="11.83203125" customWidth="1"/>
    <col min="5" max="5" width="14.83203125" customWidth="1"/>
    <col min="6" max="6" width="14.83203125" customWidth="1"/>
    <col min="7" max="7" width="14.83203125" customWidth="1"/>
    <col min="8" max="8" width="9.83203125" customWidth="1"/>
    <col min="9" max="9" width="8.83203125" customWidth="1"/>
    <col min="10" max="10" width="8.83203125" customWidth="1"/>
    <col min="11" max="11" width="22.83203125" customWidth="1"/>
    <col min="12" max="12" width="12.83203125" customWidth="1"/>
  </cols>
  <sheetData>
    <row r="1">
      <c r="A1" s="5" t="str">
        <v>Κλειδί</v>
      </c>
      <c r="B1" s="5" t="str">
        <v>Περιγραφή A</v>
      </c>
      <c r="C1" s="5" t="str">
        <v>Περιγραφή B</v>
      </c>
      <c r="D1" s="5" t="str">
        <v>Ημ/νία</v>
      </c>
      <c r="E1" s="5" t="str">
        <v>Ποσό A</v>
      </c>
      <c r="F1" s="5" t="str">
        <v>Ποσό B</v>
      </c>
      <c r="G1" s="5" t="str">
        <v>Διαφορά</v>
      </c>
      <c r="H1" s="5" t="str">
        <v>Ηλικία (ημ.)</v>
      </c>
      <c r="I1" s="5" t="str">
        <v>Γραμμές A</v>
      </c>
      <c r="J1" s="5" t="str">
        <v>Γραμμές B</v>
      </c>
      <c r="K1" s="5" t="str">
        <v>Κατηγορία</v>
      </c>
    </row>
    <row r="2">
      <c r="A2" s="2" t="str">
        <v>#9</v>
      </c>
      <c r="B2" s="2" t="str">
        <v>1Bank - Credit Advice Some Supplier</v>
      </c>
      <c r="C2" s="2" t="str">
        <v/>
      </c>
      <c r="D2" s="2" t="str">
        <v>04/08/2026</v>
      </c>
      <c r="E2" s="6">
        <v>-250</v>
      </c>
      <c r="G2" s="9">
        <f>N(E2)-N(F2)</f>
        <v>-250</v>
      </c>
      <c r="H2" s="2">
        <v>73</v>
      </c>
      <c r="I2" s="2">
        <v>1</v>
      </c>
      <c r="J2" s="2">
        <v>0</v>
      </c>
      <c r="K2" s="2" t="str">
        <v/>
      </c>
    </row>
  </sheetData>
  <autoFilter ref="A1:K2"/>
  <ignoredErrors>
    <ignoredError numberStoredAsText="1" sqref="A1:K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cols>
    <col min="1" max="1" width="28.83203125" customWidth="1"/>
    <col min="2" max="2" width="30.83203125" customWidth="1"/>
    <col min="3" max="3" width="30.83203125" customWidth="1"/>
    <col min="4" max="4" width="11.83203125" customWidth="1"/>
    <col min="5" max="5" width="14.83203125" customWidth="1"/>
    <col min="6" max="6" width="14.83203125" customWidth="1"/>
    <col min="7" max="7" width="14.83203125" customWidth="1"/>
    <col min="8" max="8" width="9.83203125" customWidth="1"/>
    <col min="9" max="9" width="8.83203125" customWidth="1"/>
    <col min="10" max="10" width="8.83203125" customWidth="1"/>
    <col min="11" max="11" width="22.83203125" customWidth="1"/>
    <col min="12" max="12" width="12.83203125" customWidth="1"/>
  </cols>
  <sheetData>
    <row r="1">
      <c r="A1" s="5" t="str">
        <v>Κλειδί</v>
      </c>
      <c r="B1" s="5" t="str">
        <v>Περιγραφή A</v>
      </c>
      <c r="C1" s="5" t="str">
        <v>Περιγραφή B</v>
      </c>
      <c r="D1" s="5" t="str">
        <v>Ημ/νία</v>
      </c>
      <c r="E1" s="5" t="str">
        <v>Ποσό A</v>
      </c>
      <c r="F1" s="5" t="str">
        <v>Ποσό B</v>
      </c>
      <c r="G1" s="5" t="str">
        <v>Διαφορά</v>
      </c>
      <c r="H1" s="5" t="str">
        <v>Ηλικία (ημ.)</v>
      </c>
      <c r="I1" s="5" t="str">
        <v>Γραμμές A</v>
      </c>
      <c r="J1" s="5" t="str">
        <v>Γραμμές B</v>
      </c>
      <c r="K1" s="5" t="str">
        <v>Κατηγορία</v>
      </c>
    </row>
  </sheetData>
  <autoFilter ref="A1:K1"/>
  <ignoredErrors>
    <ignoredError numberStoredAsText="1" sqref="A1:K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28.83203125" customWidth="1"/>
    <col min="2" max="2" width="30.83203125" customWidth="1"/>
    <col min="3" max="3" width="30.83203125" customWidth="1"/>
    <col min="4" max="4" width="11.83203125" customWidth="1"/>
    <col min="5" max="5" width="14.83203125" customWidth="1"/>
    <col min="6" max="6" width="14.83203125" customWidth="1"/>
    <col min="7" max="7" width="14.83203125" customWidth="1"/>
    <col min="8" max="8" width="9.83203125" customWidth="1"/>
    <col min="9" max="9" width="8.83203125" customWidth="1"/>
    <col min="10" max="10" width="8.83203125" customWidth="1"/>
    <col min="11" max="11" width="22.83203125" customWidth="1"/>
    <col min="12" max="12" width="12.83203125" customWidth="1"/>
  </cols>
  <sheetData>
    <row r="1">
      <c r="A1" s="5" t="str">
        <v>Κλειδί</v>
      </c>
      <c r="B1" s="5" t="str">
        <v>Περιγραφή A</v>
      </c>
      <c r="C1" s="5" t="str">
        <v>Περιγραφή B</v>
      </c>
      <c r="D1" s="5" t="str">
        <v>Ημ/νία</v>
      </c>
      <c r="E1" s="5" t="str">
        <v>Ποσό A</v>
      </c>
      <c r="F1" s="5" t="str">
        <v>Ποσό B</v>
      </c>
      <c r="G1" s="5" t="str">
        <v>Διαφορά</v>
      </c>
      <c r="H1" s="5" t="str">
        <v>Ηλικία (ημ.)</v>
      </c>
      <c r="I1" s="5" t="str">
        <v>Γραμμές A</v>
      </c>
      <c r="J1" s="5" t="str">
        <v>Γραμμές B</v>
      </c>
      <c r="K1" s="5" t="str">
        <v>Κατηγορία</v>
      </c>
      <c r="L1" s="5" t="str">
        <v>Κανόνας</v>
      </c>
    </row>
    <row r="2">
      <c r="A2" s="2" t="str">
        <v>#1 ⇄ #4</v>
      </c>
      <c r="B2" s="2" t="str">
        <v>Cash deposit branch</v>
      </c>
      <c r="C2" s="2" t="str">
        <v>ΕΚΚΑΘΑΡΙΣΗ ΜΕΤΡΗΤΩΝ 3/8/2026</v>
      </c>
      <c r="D2" s="2" t="str">
        <v>03/08/2026</v>
      </c>
      <c r="E2" s="6">
        <v>-500</v>
      </c>
      <c r="F2" s="6">
        <v>-500</v>
      </c>
      <c r="G2" s="6">
        <f>N(E2)-N(F2)</f>
        <v>0</v>
      </c>
      <c r="H2" s="2">
        <v>74</v>
      </c>
      <c r="I2" s="2">
        <v>1</v>
      </c>
      <c r="J2" s="2">
        <v>1</v>
      </c>
      <c r="K2" s="2" t="str">
        <v/>
      </c>
      <c r="L2" s="2" t="str">
        <v>Ποσό+Ημ/νία</v>
      </c>
    </row>
  </sheetData>
  <autoFilter ref="A1:L2"/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Τεκμηρίωση</vt:lpstr>
      <vt:lpstr>Σύνοψη</vt:lpstr>
      <vt:lpstr>Προσαρμοσμένα υπόλοιπα</vt:lpstr>
      <vt:lpstr>Διαφορές</vt:lpstr>
      <vt:lpstr>Ομάδες</vt:lpstr>
      <vt:lpstr>Μόνο στο A</vt:lpstr>
      <vt:lpstr>Μόνο στο B</vt:lpstr>
      <vt:lpstr>Συμφωνούν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