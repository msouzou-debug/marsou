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Αποφάσεις επικάλυψης" sheetId="1" state="visible" r:id="rId1"/>
    <sheet xmlns:r="http://schemas.openxmlformats.org/officeDocument/2006/relationships" name="Πράγματι πρόσθετες" sheetId="2" state="visible" r:id="rId2"/>
  </sheets>
  <definedNames>
    <definedName name="_xlnm._FilterDatabase" localSheetId="0" hidden="1">'Αποφάσεις επικάλυψης'!$A$1:$M$42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5" customWidth="1" min="3" max="3"/>
    <col width="52" customWidth="1" min="4" max="4"/>
    <col width="12" customWidth="1" min="5" max="5"/>
    <col width="52" customWidth="1" min="6" max="6"/>
    <col width="22" customWidth="1" min="7" max="7"/>
    <col width="12" customWidth="1" min="8" max="8"/>
    <col width="13" customWidth="1" min="9" max="9"/>
    <col width="18" customWidth="1" min="10" max="10"/>
    <col width="14" customWidth="1" min="11" max="11"/>
    <col width="12" customWidth="1" min="12" max="12"/>
    <col width="13" customWidth="1" min="13" max="13"/>
  </cols>
  <sheetData>
    <row r="1">
      <c r="A1" s="1" t="inlineStr">
        <is>
          <t>Κωδικός υπηρεσίας</t>
        </is>
      </c>
      <c r="B1" s="1" t="inlineStr">
        <is>
          <t>Τύπος</t>
        </is>
      </c>
      <c r="C1" s="1" t="inlineStr">
        <is>
          <t>Κατ.</t>
        </is>
      </c>
      <c r="D1" s="1" t="inlineStr">
        <is>
          <t>Περιγραφή υπηρεσίας</t>
        </is>
      </c>
      <c r="E1" s="1" t="inlineStr">
        <is>
          <t>Κωδικός τιμοκαταλόγου</t>
        </is>
      </c>
      <c r="F1" s="1" t="inlineStr">
        <is>
          <t>Περιγραφή τιμοκαταλόγου</t>
        </is>
      </c>
      <c r="G1" s="1" t="inlineStr">
        <is>
          <t>Τιμή (όπως δόθηκε)</t>
        </is>
      </c>
      <c r="H1" s="1" t="inlineStr">
        <is>
          <t>Τιμή €</t>
        </is>
      </c>
      <c r="I1" s="1" t="inlineStr">
        <is>
          <t>Πρόταση</t>
        </is>
      </c>
      <c r="J1" s="1" t="inlineStr">
        <is>
          <t>ΑΠΟΦΑΣΗ (συμπληρώστε)</t>
        </is>
      </c>
      <c r="K1" s="1" t="inlineStr">
        <is>
          <t>Από</t>
        </is>
      </c>
      <c r="L1" s="1" t="inlineStr">
        <is>
          <t>Ημερομηνία</t>
        </is>
      </c>
      <c r="M1" s="1" t="inlineStr">
        <is>
          <t>Πρόσθετη χρέωση €</t>
        </is>
      </c>
    </row>
    <row r="2">
      <c r="A2" t="inlineStr">
        <is>
          <t>AET052</t>
        </is>
      </c>
      <c r="B2" t="inlineStr">
        <is>
          <t>TREATMENT</t>
        </is>
      </c>
      <c r="C2" t="n">
        <v>3</v>
      </c>
      <c r="D2" t="inlineStr">
        <is>
          <t>Κεντρική γραμμή</t>
        </is>
      </c>
      <c r="E2" t="inlineStr">
        <is>
          <t>SHSO-ER31</t>
        </is>
      </c>
      <c r="F2" t="inlineStr">
        <is>
          <t>Κεντρική γραμμή</t>
        </is>
      </c>
      <c r="G2" t="inlineStr">
        <is>
          <t>1000</t>
        </is>
      </c>
      <c r="H2" s="2" t="n">
        <v>1000</v>
      </c>
      <c r="I2" t="inlineStr">
        <is>
          <t>weight_only</t>
        </is>
      </c>
      <c r="J2" t="inlineStr"/>
      <c r="K2" t="inlineStr"/>
      <c r="L2" t="inlineStr"/>
      <c r="M2" s="2">
        <f>IF($H2="","",IF(OR(IF($J2="",$I2,$J2)="both",IF($J2="",$I2,$J2)="tariff_only"),$H2,0))</f>
        <v/>
      </c>
    </row>
    <row r="3">
      <c r="A3" t="inlineStr">
        <is>
          <t>AET082</t>
        </is>
      </c>
      <c r="B3" t="inlineStr">
        <is>
          <t>TREATMENT</t>
        </is>
      </c>
      <c r="C3" t="n">
        <v>4</v>
      </c>
      <c r="D3" t="inlineStr">
        <is>
          <t>Οσφυονωτιαία παρακέντηση</t>
        </is>
      </c>
      <c r="E3" t="inlineStr">
        <is>
          <t>SHSO-ER48</t>
        </is>
      </c>
      <c r="F3" t="inlineStr">
        <is>
          <t>Οσφυονωτιαία παρακέντηση</t>
        </is>
      </c>
      <c r="G3" t="inlineStr">
        <is>
          <t>800</t>
        </is>
      </c>
      <c r="H3" s="2" t="n">
        <v>800</v>
      </c>
      <c r="I3" t="inlineStr">
        <is>
          <t>weight_only</t>
        </is>
      </c>
      <c r="J3" t="inlineStr"/>
      <c r="K3" t="inlineStr"/>
      <c r="L3" t="inlineStr"/>
      <c r="M3" s="2">
        <f>IF($H3="","",IF(OR(IF($J3="",$I3,$J3)="both",IF($J3="",$I3,$J3)="tariff_only"),$H3,0))</f>
        <v/>
      </c>
    </row>
    <row r="4">
      <c r="A4" t="inlineStr">
        <is>
          <t>AET072</t>
        </is>
      </c>
      <c r="B4" t="inlineStr">
        <is>
          <t>TREATMENT</t>
        </is>
      </c>
      <c r="C4" t="n">
        <v>4</v>
      </c>
      <c r="D4" t="inlineStr">
        <is>
          <t>Διασωλήνωση &amp; ενδοτραχειακοί σωλήνες/ λαρυγγική μάσκα αεραγωγών/ταχεία εισαγωγή</t>
        </is>
      </c>
      <c r="E4" t="inlineStr">
        <is>
          <t>SHSO-ER34</t>
        </is>
      </c>
      <c r="F4" t="inlineStr">
        <is>
          <t>Διασωλήνωση &amp; ενδοτραχειακοί σωλήνες/ λαρυγγική μάσκα αεραγωγών/ταχεία εισαγωγή</t>
        </is>
      </c>
      <c r="G4" t="inlineStr">
        <is>
          <t>400</t>
        </is>
      </c>
      <c r="H4" s="2" t="n">
        <v>400</v>
      </c>
      <c r="I4" t="inlineStr">
        <is>
          <t>weight_only</t>
        </is>
      </c>
      <c r="J4" t="inlineStr"/>
      <c r="K4" t="inlineStr"/>
      <c r="L4" t="inlineStr"/>
      <c r="M4" s="2">
        <f>IF($H4="","",IF(OR(IF($J4="",$I4,$J4)="both",IF($J4="",$I4,$J4)="tariff_only"),$H4,0))</f>
        <v/>
      </c>
    </row>
    <row r="5">
      <c r="A5" t="inlineStr">
        <is>
          <t>AET077</t>
        </is>
      </c>
      <c r="B5" t="inlineStr">
        <is>
          <t>TREATMENT</t>
        </is>
      </c>
      <c r="C5" t="n">
        <v>4</v>
      </c>
      <c r="D5" t="inlineStr">
        <is>
          <t>Παρεντερική θρομβόλυση - με στρεπτοκινάση</t>
        </is>
      </c>
      <c r="E5" t="inlineStr">
        <is>
          <t>SHSO-ER45</t>
        </is>
      </c>
      <c r="F5" t="inlineStr">
        <is>
          <t>Παρεντερική θρομβόλυση - με στρεπτοκινάση</t>
        </is>
      </c>
      <c r="G5" t="inlineStr">
        <is>
          <t>345</t>
        </is>
      </c>
      <c r="H5" s="2" t="n">
        <v>345</v>
      </c>
      <c r="I5" t="inlineStr">
        <is>
          <t>weight_only</t>
        </is>
      </c>
      <c r="J5" t="inlineStr"/>
      <c r="K5" t="inlineStr"/>
      <c r="L5" t="inlineStr"/>
      <c r="M5" s="2">
        <f>IF($H5="","",IF(OR(IF($J5="",$I5,$J5)="both",IF($J5="",$I5,$J5)="tariff_only"),$H5,0))</f>
        <v/>
      </c>
    </row>
    <row r="6">
      <c r="A6" t="inlineStr">
        <is>
          <t>AET074</t>
        </is>
      </c>
      <c r="B6" t="inlineStr">
        <is>
          <t>TREATMENT</t>
        </is>
      </c>
      <c r="C6" t="n">
        <v>4</v>
      </c>
      <c r="D6" t="inlineStr">
        <is>
          <t>Απινίδωση</t>
        </is>
      </c>
      <c r="E6" t="inlineStr">
        <is>
          <t>SHSO-ER14</t>
        </is>
      </c>
      <c r="F6" t="inlineStr">
        <is>
          <t>Απινίδωση</t>
        </is>
      </c>
      <c r="G6" t="inlineStr">
        <is>
          <t>340</t>
        </is>
      </c>
      <c r="H6" s="2" t="n">
        <v>340</v>
      </c>
      <c r="I6" t="inlineStr">
        <is>
          <t>weight_only</t>
        </is>
      </c>
      <c r="J6" t="inlineStr"/>
      <c r="K6" t="inlineStr"/>
      <c r="L6" t="inlineStr"/>
      <c r="M6" s="2">
        <f>IF($H6="","",IF(OR(IF($J6="",$I6,$J6)="both",IF($J6="",$I6,$J6)="tariff_only"),$H6,0))</f>
        <v/>
      </c>
    </row>
    <row r="7">
      <c r="A7" t="inlineStr">
        <is>
          <t>AET085</t>
        </is>
      </c>
      <c r="B7" t="inlineStr">
        <is>
          <t>TREATMENT</t>
        </is>
      </c>
      <c r="C7" t="n">
        <v>5</v>
      </c>
      <c r="D7" t="inlineStr">
        <is>
          <t>Αναζωογόνηση/  Καρδιοπνευμονική αναζωογόνηση</t>
        </is>
      </c>
      <c r="E7" t="inlineStr">
        <is>
          <t>SHSO-ER12</t>
        </is>
      </c>
      <c r="F7" t="inlineStr">
        <is>
          <t>Αναζωογόνηση/  Καρδιοπνευμονική αναζωογόνηση</t>
        </is>
      </c>
      <c r="G7" t="inlineStr">
        <is>
          <t>320</t>
        </is>
      </c>
      <c r="H7" s="2" t="n">
        <v>320</v>
      </c>
      <c r="I7" t="inlineStr">
        <is>
          <t>weight_only</t>
        </is>
      </c>
      <c r="J7" t="inlineStr"/>
      <c r="K7" t="inlineStr"/>
      <c r="L7" t="inlineStr"/>
      <c r="M7" s="2">
        <f>IF($H7="","",IF(OR(IF($J7="",$I7,$J7)="both",IF($J7="",$I7,$J7)="tariff_only"),$H7,0))</f>
        <v/>
      </c>
    </row>
    <row r="8">
      <c r="A8" t="inlineStr">
        <is>
          <t>AET091</t>
        </is>
      </c>
      <c r="B8" t="inlineStr">
        <is>
          <t>TREATMENT</t>
        </is>
      </c>
      <c r="C8" t="n">
        <v>5</v>
      </c>
      <c r="D8" t="inlineStr">
        <is>
          <t>Αναζωογόνηση/  Καρδιοπνευμονική αναζωογόνηση</t>
        </is>
      </c>
      <c r="E8" t="inlineStr">
        <is>
          <t>SHSO-ER12</t>
        </is>
      </c>
      <c r="F8" t="inlineStr">
        <is>
          <t>Αναζωογόνηση/  Καρδιοπνευμονική αναζωογόνηση</t>
        </is>
      </c>
      <c r="G8" t="inlineStr">
        <is>
          <t>320</t>
        </is>
      </c>
      <c r="H8" s="2" t="n">
        <v>320</v>
      </c>
      <c r="I8" t="inlineStr">
        <is>
          <t>weight_only</t>
        </is>
      </c>
      <c r="J8" t="inlineStr"/>
      <c r="K8" t="inlineStr"/>
      <c r="L8" t="inlineStr"/>
      <c r="M8" s="2">
        <f>IF($H8="","",IF(OR(IF($J8="",$I8,$J8)="both",IF($J8="",$I8,$J8)="tariff_only"),$H8,0))</f>
        <v/>
      </c>
    </row>
    <row r="9">
      <c r="A9" t="inlineStr">
        <is>
          <t>AET058</t>
        </is>
      </c>
      <c r="B9" t="inlineStr">
        <is>
          <t>TREATMENT</t>
        </is>
      </c>
      <c r="C9" t="n">
        <v>3</v>
      </c>
      <c r="D9" t="inlineStr">
        <is>
          <t>Συνεχής θετική πίεση των αεραγωγών/ρινική διακοπτόμενη θετική πίεση παροχής αέρα/χειροκίνητη μάσκα παροχής θετικής πίεσης αερισμού</t>
        </is>
      </c>
      <c r="E9" t="inlineStr">
        <is>
          <t>SHSO-ER35</t>
        </is>
      </c>
      <c r="F9" t="inlineStr">
        <is>
          <t>Συνεχής θετική πίεση των αεραγωγών/ρινική διακοπτόμενη θετική πίεση παροχής αέρα/χειροκίνητη μάσκα παροχής θετικής πίεσης αερισμού</t>
        </is>
      </c>
      <c r="G9" t="inlineStr">
        <is>
          <t>300</t>
        </is>
      </c>
      <c r="H9" s="2" t="n">
        <v>300</v>
      </c>
      <c r="I9" t="inlineStr">
        <is>
          <t>weight_only</t>
        </is>
      </c>
      <c r="J9" t="inlineStr"/>
      <c r="K9" t="inlineStr"/>
      <c r="L9" t="inlineStr"/>
      <c r="M9" s="2">
        <f>IF($H9="","",IF(OR(IF($J9="",$I9,$J9)="both",IF($J9="",$I9,$J9)="tariff_only"),$H9,0))</f>
        <v/>
      </c>
    </row>
    <row r="10">
      <c r="A10" t="inlineStr">
        <is>
          <t>AET075</t>
        </is>
      </c>
      <c r="B10" t="inlineStr">
        <is>
          <t>TREATMENT</t>
        </is>
      </c>
      <c r="C10" t="n">
        <v>4</v>
      </c>
      <c r="D10" t="inlineStr">
        <is>
          <t>Εξωτερική βηματοδότηση</t>
        </is>
      </c>
      <c r="E10" t="inlineStr">
        <is>
          <t>SHSO-ER13</t>
        </is>
      </c>
      <c r="F10" t="inlineStr">
        <is>
          <t>Εξωτερική βηματοδότηση</t>
        </is>
      </c>
      <c r="G10" t="inlineStr">
        <is>
          <t>250€   / συν αναλώσιμο</t>
        </is>
      </c>
      <c r="H10" s="2" t="n">
        <v>250</v>
      </c>
      <c r="I10" t="inlineStr">
        <is>
          <t>weight_only</t>
        </is>
      </c>
      <c r="J10" t="inlineStr"/>
      <c r="K10" t="inlineStr"/>
      <c r="L10" t="inlineStr"/>
      <c r="M10" s="2">
        <f>IF($H10="","",IF(OR(IF($J10="",$I10,$J10)="both",IF($J10="",$I10,$J10)="tariff_only"),$H10,0))</f>
        <v/>
      </c>
    </row>
    <row r="11">
      <c r="A11" t="inlineStr">
        <is>
          <t>AET059</t>
        </is>
      </c>
      <c r="B11" t="inlineStr">
        <is>
          <t>TREATMENT</t>
        </is>
      </c>
      <c r="C11" t="n">
        <v>3</v>
      </c>
      <c r="D11" t="inlineStr">
        <is>
          <t>Αρτηριακή γραμμή</t>
        </is>
      </c>
      <c r="E11" t="inlineStr">
        <is>
          <t>SHSO-ER32</t>
        </is>
      </c>
      <c r="F11" t="inlineStr">
        <is>
          <t>Αρτηριακή γραμμή</t>
        </is>
      </c>
      <c r="G11" t="inlineStr">
        <is>
          <t>200</t>
        </is>
      </c>
      <c r="H11" s="2" t="n">
        <v>200</v>
      </c>
      <c r="I11" t="inlineStr">
        <is>
          <t>weight_only</t>
        </is>
      </c>
      <c r="J11" t="inlineStr"/>
      <c r="K11" t="inlineStr"/>
      <c r="L11" t="inlineStr"/>
      <c r="M11" s="2">
        <f>IF($H11="","",IF(OR(IF($J11="",$I11,$J11)="both",IF($J11="",$I11,$J11)="tariff_only"),$H11,0))</f>
        <v/>
      </c>
    </row>
    <row r="12">
      <c r="A12" t="inlineStr">
        <is>
          <t>AET069</t>
        </is>
      </c>
      <c r="B12" t="inlineStr">
        <is>
          <t>TREATMENT</t>
        </is>
      </c>
      <c r="C12" t="n">
        <v>4</v>
      </c>
      <c r="D12" t="inlineStr">
        <is>
          <t>Ορθοθέτηση κατάγματος άνω άκρου</t>
        </is>
      </c>
      <c r="E12" t="inlineStr">
        <is>
          <t>SHSO-ER25</t>
        </is>
      </c>
      <c r="F12" t="inlineStr">
        <is>
          <t>Ορθοθέτηση κατάγματος άνω άκρου</t>
        </is>
      </c>
      <c r="G12" t="inlineStr">
        <is>
          <t>130</t>
        </is>
      </c>
      <c r="H12" s="2" t="n">
        <v>130</v>
      </c>
      <c r="I12" t="inlineStr">
        <is>
          <t>weight_only</t>
        </is>
      </c>
      <c r="J12" t="inlineStr"/>
      <c r="K12" t="inlineStr"/>
      <c r="L12" t="inlineStr"/>
      <c r="M12" s="2">
        <f>IF($H12="","",IF(OR(IF($J12="",$I12,$J12)="both",IF($J12="",$I12,$J12)="tariff_only"),$H12,0))</f>
        <v/>
      </c>
    </row>
    <row r="13">
      <c r="A13" t="inlineStr">
        <is>
          <t>AET070</t>
        </is>
      </c>
      <c r="B13" t="inlineStr">
        <is>
          <t>TREATMENT</t>
        </is>
      </c>
      <c r="C13" t="n">
        <v>4</v>
      </c>
      <c r="D13" t="inlineStr">
        <is>
          <t>Ορθοθέτηση κατάγματος κάτω άκρου</t>
        </is>
      </c>
      <c r="E13" t="inlineStr">
        <is>
          <t>SHSO-ER26</t>
        </is>
      </c>
      <c r="F13" t="inlineStr">
        <is>
          <t>Ορθοθέτηση κατάγματος κάτω άκρου</t>
        </is>
      </c>
      <c r="G13" t="inlineStr">
        <is>
          <t>130</t>
        </is>
      </c>
      <c r="H13" s="2" t="n">
        <v>130</v>
      </c>
      <c r="I13" t="inlineStr">
        <is>
          <t>weight_only</t>
        </is>
      </c>
      <c r="J13" t="inlineStr"/>
      <c r="K13" t="inlineStr"/>
      <c r="L13" t="inlineStr"/>
      <c r="M13" s="2">
        <f>IF($H13="","",IF(OR(IF($J13="",$I13,$J13)="both",IF($J13="",$I13,$J13)="tariff_only"),$H13,0))</f>
        <v/>
      </c>
    </row>
    <row r="14">
      <c r="A14" t="inlineStr">
        <is>
          <t>AET022</t>
        </is>
      </c>
      <c r="B14" t="inlineStr">
        <is>
          <t>TREATMENT</t>
        </is>
      </c>
      <c r="C14" t="n">
        <v>2</v>
      </c>
      <c r="D14" t="inlineStr">
        <is>
          <t>Αλλαγή μικρού τραύματος / έγκαυμα/οφθαλμός</t>
        </is>
      </c>
      <c r="E14" t="inlineStr">
        <is>
          <t>SHSO-ER15</t>
        </is>
      </c>
      <c r="F14" t="inlineStr">
        <is>
          <t>Αλλαγή μικρού τραύματος / έγκαυμα/οφθαλμός</t>
        </is>
      </c>
      <c r="G14" t="inlineStr">
        <is>
          <t>120</t>
        </is>
      </c>
      <c r="H14" s="2" t="n">
        <v>120</v>
      </c>
      <c r="I14" t="inlineStr">
        <is>
          <t>weight_only</t>
        </is>
      </c>
      <c r="J14" t="inlineStr"/>
      <c r="K14" t="inlineStr"/>
      <c r="L14" t="inlineStr"/>
      <c r="M14" s="2">
        <f>IF($H14="","",IF(OR(IF($J14="",$I14,$J14)="both",IF($J14="",$I14,$J14)="tariff_only"),$H14,0))</f>
        <v/>
      </c>
    </row>
    <row r="15">
      <c r="A15" t="inlineStr">
        <is>
          <t>AET012</t>
        </is>
      </c>
      <c r="B15" t="inlineStr">
        <is>
          <t>TREATMENT</t>
        </is>
      </c>
      <c r="C15" t="n">
        <v>1</v>
      </c>
      <c r="D15" t="inlineStr">
        <is>
          <t>Καθαρισμός πληγής</t>
        </is>
      </c>
      <c r="E15" t="inlineStr">
        <is>
          <t>SHSO-ER40</t>
        </is>
      </c>
      <c r="F15" t="inlineStr">
        <is>
          <t>Καθαρισμός πληγής</t>
        </is>
      </c>
      <c r="G15" t="inlineStr">
        <is>
          <t>115</t>
        </is>
      </c>
      <c r="H15" s="2" t="n">
        <v>115</v>
      </c>
      <c r="I15" t="inlineStr">
        <is>
          <t>weight_only</t>
        </is>
      </c>
      <c r="J15" t="inlineStr"/>
      <c r="K15" t="inlineStr"/>
      <c r="L15" t="inlineStr"/>
      <c r="M15" s="2">
        <f>IF($H15="","",IF(OR(IF($J15="",$I15,$J15)="both",IF($J15="",$I15,$J15)="tariff_only"),$H15,0))</f>
        <v/>
      </c>
    </row>
    <row r="16">
      <c r="A16" t="inlineStr">
        <is>
          <t>AET071</t>
        </is>
      </c>
      <c r="B16" t="inlineStr">
        <is>
          <t>TREATMENT</t>
        </is>
      </c>
      <c r="C16" t="n">
        <v>4</v>
      </c>
      <c r="D16" t="inlineStr">
        <is>
          <t>Ορθοθέτηση εξάρθρωσης</t>
        </is>
      </c>
      <c r="E16" t="inlineStr">
        <is>
          <t>SHSO-ER24</t>
        </is>
      </c>
      <c r="F16" t="inlineStr">
        <is>
          <t>Ορθοθέτηση εξάρθρωσης</t>
        </is>
      </c>
      <c r="G16" t="inlineStr">
        <is>
          <t>105</t>
        </is>
      </c>
      <c r="H16" s="2" t="n">
        <v>105</v>
      </c>
      <c r="I16" t="inlineStr">
        <is>
          <t>weight_only</t>
        </is>
      </c>
      <c r="J16" t="inlineStr"/>
      <c r="K16" t="inlineStr"/>
      <c r="L16" t="inlineStr"/>
      <c r="M16" s="2">
        <f>IF($H16="","",IF(OR(IF($J16="",$I16,$J16)="both",IF($J16="",$I16,$J16)="tariff_only"),$H16,0))</f>
        <v/>
      </c>
    </row>
    <row r="17">
      <c r="A17" t="inlineStr">
        <is>
          <t>AET081</t>
        </is>
      </c>
      <c r="B17" t="inlineStr">
        <is>
          <t>TREATMENT</t>
        </is>
      </c>
      <c r="C17" t="n">
        <v>4</v>
      </c>
      <c r="D17" t="inlineStr">
        <is>
          <t>Περικαρδιοκέντηση</t>
        </is>
      </c>
      <c r="E17" t="inlineStr">
        <is>
          <t>SHSO-ER37</t>
        </is>
      </c>
      <c r="F17" t="inlineStr">
        <is>
          <t>Περικαρδιοκέντηση</t>
        </is>
      </c>
      <c r="G17" t="inlineStr">
        <is>
          <t>100</t>
        </is>
      </c>
      <c r="H17" s="2" t="n">
        <v>100</v>
      </c>
      <c r="I17" t="inlineStr">
        <is>
          <t>weight_only</t>
        </is>
      </c>
      <c r="J17" t="inlineStr"/>
      <c r="K17" t="inlineStr"/>
      <c r="L17" t="inlineStr"/>
      <c r="M17" s="2">
        <f>IF($H17="","",IF(OR(IF($J17="",$I17,$J17)="both",IF($J17="",$I17,$J17)="tariff_only"),$H17,0))</f>
        <v/>
      </c>
    </row>
    <row r="18">
      <c r="A18" t="inlineStr">
        <is>
          <t>AET050</t>
        </is>
      </c>
      <c r="B18" t="inlineStr">
        <is>
          <t>TREATMENT</t>
        </is>
      </c>
      <c r="C18" t="n">
        <v>3</v>
      </c>
      <c r="D18" t="inlineStr">
        <is>
          <t>Αφαίρεση ξένου σώματος</t>
        </is>
      </c>
      <c r="E18" t="inlineStr">
        <is>
          <t>SHSO-ER42</t>
        </is>
      </c>
      <c r="F18" t="inlineStr">
        <is>
          <t>Αφαίρεση ξένου σώματος</t>
        </is>
      </c>
      <c r="G18" t="inlineStr">
        <is>
          <t>85</t>
        </is>
      </c>
      <c r="H18" s="2" t="n">
        <v>85</v>
      </c>
      <c r="I18" t="inlineStr">
        <is>
          <t>weight_only</t>
        </is>
      </c>
      <c r="J18" t="inlineStr"/>
      <c r="K18" t="inlineStr"/>
      <c r="L18" t="inlineStr"/>
      <c r="M18" s="2">
        <f>IF($H18="","",IF(OR(IF($J18="",$I18,$J18)="both",IF($J18="",$I18,$J18)="tariff_only"),$H18,0))</f>
        <v/>
      </c>
    </row>
    <row r="19">
      <c r="A19" t="inlineStr">
        <is>
          <t>AED022</t>
        </is>
      </c>
      <c r="B19" t="inlineStr">
        <is>
          <t>INVESTIGATION</t>
        </is>
      </c>
      <c r="C19" t="n">
        <v>3</v>
      </c>
      <c r="D19" t="inlineStr">
        <is>
          <t>Τομογραφία Ουροποιογεννητικού συστήματος με σκιαγραφικό</t>
        </is>
      </c>
      <c r="E19" t="inlineStr">
        <is>
          <t>SHSO-ER7</t>
        </is>
      </c>
      <c r="F19" t="inlineStr">
        <is>
          <t>Τομογραφία Ουροποιογεννητικού συστήματος με σκιαγραφικό</t>
        </is>
      </c>
      <c r="G19" t="inlineStr">
        <is>
          <t>65</t>
        </is>
      </c>
      <c r="H19" s="2" t="n">
        <v>65</v>
      </c>
      <c r="I19" t="inlineStr">
        <is>
          <t>weight_only</t>
        </is>
      </c>
      <c r="J19" t="inlineStr"/>
      <c r="K19" t="inlineStr"/>
      <c r="L19" t="inlineStr"/>
      <c r="M19" s="2">
        <f>IF($H19="","",IF(OR(IF($J19="",$I19,$J19)="both",IF($J19="",$I19,$J19)="tariff_only"),$H19,0))</f>
        <v/>
      </c>
    </row>
    <row r="20">
      <c r="A20" t="inlineStr">
        <is>
          <t>AET037</t>
        </is>
      </c>
      <c r="B20" t="inlineStr">
        <is>
          <t>TREATMENT</t>
        </is>
      </c>
      <c r="C20" t="n">
        <v>2</v>
      </c>
      <c r="D20" t="inlineStr">
        <is>
          <t>Τέτανος - ανθρώπινη ανοσοσφαιρίνη</t>
        </is>
      </c>
      <c r="E20" t="inlineStr">
        <is>
          <t>SHSO-ER30</t>
        </is>
      </c>
      <c r="F20" t="inlineStr">
        <is>
          <t>Τέτανος - ανθρώπινη ανοσοσφαιρίνη</t>
        </is>
      </c>
      <c r="G20" t="inlineStr">
        <is>
          <t>60</t>
        </is>
      </c>
      <c r="H20" s="2" t="n">
        <v>60</v>
      </c>
      <c r="I20" t="inlineStr">
        <is>
          <t>weight_only</t>
        </is>
      </c>
      <c r="J20" t="inlineStr"/>
      <c r="K20" t="inlineStr"/>
      <c r="L20" t="inlineStr"/>
      <c r="M20" s="2">
        <f>IF($H20="","",IF(OR(IF($J20="",$I20,$J20)="both",IF($J20="",$I20,$J20)="tariff_only"),$H20,0))</f>
        <v/>
      </c>
    </row>
    <row r="21">
      <c r="A21" t="inlineStr">
        <is>
          <t>AET073</t>
        </is>
      </c>
      <c r="B21" t="inlineStr">
        <is>
          <t>TREATMENT</t>
        </is>
      </c>
      <c r="C21" t="n">
        <v>4</v>
      </c>
      <c r="D21" t="inlineStr">
        <is>
          <t>Πνευμονική Παροχέτευση</t>
        </is>
      </c>
      <c r="E21" t="inlineStr">
        <is>
          <t>SHSO-ER38</t>
        </is>
      </c>
      <c r="F21" t="inlineStr">
        <is>
          <t>Πνευμονική Παροχέτευση</t>
        </is>
      </c>
      <c r="G21" t="inlineStr">
        <is>
          <t>60</t>
        </is>
      </c>
      <c r="H21" s="2" t="n">
        <v>60</v>
      </c>
      <c r="I21" t="inlineStr">
        <is>
          <t>weight_only</t>
        </is>
      </c>
      <c r="J21" t="inlineStr"/>
      <c r="K21" t="inlineStr"/>
      <c r="L21" t="inlineStr"/>
      <c r="M21" s="2">
        <f>IF($H21="","",IF(OR(IF($J21="",$I21,$J21)="both",IF($J21="",$I21,$J21)="tariff_only"),$H21,0))</f>
        <v/>
      </c>
    </row>
    <row r="22">
      <c r="A22" t="inlineStr">
        <is>
          <t>AET047</t>
        </is>
      </c>
      <c r="B22" t="inlineStr">
        <is>
          <t>TREATMENT</t>
        </is>
      </c>
      <c r="C22" t="n">
        <v>3</v>
      </c>
      <c r="D22" t="inlineStr">
        <is>
          <t>Αλλαγή πληγής μεγάλου τραύματος/ εγκαύματος</t>
        </is>
      </c>
      <c r="E22" t="inlineStr">
        <is>
          <t>SHSO-ER41</t>
        </is>
      </c>
      <c r="F22" t="inlineStr">
        <is>
          <t>Αλλαγή πληγής μεγάλου τραύματος/ εγκαύματος</t>
        </is>
      </c>
      <c r="G22" t="inlineStr">
        <is>
          <t>60</t>
        </is>
      </c>
      <c r="H22" s="2" t="n">
        <v>60</v>
      </c>
      <c r="I22" t="inlineStr">
        <is>
          <t>weight_only</t>
        </is>
      </c>
      <c r="J22" t="inlineStr"/>
      <c r="K22" t="inlineStr"/>
      <c r="L22" t="inlineStr"/>
      <c r="M22" s="2">
        <f>IF($H22="","",IF(OR(IF($J22="",$I22,$J22)="both",IF($J22="",$I22,$J22)="tariff_only"),$H22,0))</f>
        <v/>
      </c>
    </row>
    <row r="23">
      <c r="A23" t="inlineStr">
        <is>
          <t>AET079</t>
        </is>
      </c>
      <c r="B23" t="inlineStr">
        <is>
          <t>TREATMENT</t>
        </is>
      </c>
      <c r="C23" t="n">
        <v>4</v>
      </c>
      <c r="D23" t="inlineStr">
        <is>
          <t>Άλλα παρεντερικά φάρμακα - ενδοφλέβια έγχυση</t>
        </is>
      </c>
      <c r="E23" t="inlineStr">
        <is>
          <t>SHSO-ER8</t>
        </is>
      </c>
      <c r="F23" t="inlineStr">
        <is>
          <t>Άλλα παρεντερικά φάρμακα - ενδοφλέβια έγχυση</t>
        </is>
      </c>
      <c r="G23" t="inlineStr">
        <is>
          <t>50</t>
        </is>
      </c>
      <c r="H23" s="2" t="n">
        <v>50</v>
      </c>
      <c r="I23" t="inlineStr">
        <is>
          <t>weight_only</t>
        </is>
      </c>
      <c r="J23" t="inlineStr"/>
      <c r="K23" t="inlineStr"/>
      <c r="L23" t="inlineStr"/>
      <c r="M23" s="2">
        <f>IF($H23="","",IF(OR(IF($J23="",$I23,$J23)="both",IF($J23="",$I23,$J23)="tariff_only"),$H23,0))</f>
        <v/>
      </c>
    </row>
    <row r="24">
      <c r="A24" t="inlineStr">
        <is>
          <t>AET026</t>
        </is>
      </c>
      <c r="B24" t="inlineStr">
        <is>
          <t>TREATMENT</t>
        </is>
      </c>
      <c r="C24" t="n">
        <v>2</v>
      </c>
      <c r="D24" t="inlineStr">
        <is>
          <t>Εφαρμογή γύψου Paris</t>
        </is>
      </c>
      <c r="E24" t="inlineStr">
        <is>
          <t>SHSO-ER21</t>
        </is>
      </c>
      <c r="F24" t="inlineStr">
        <is>
          <t>Εφαρμογή γύψου Paris</t>
        </is>
      </c>
      <c r="G24" t="inlineStr">
        <is>
          <t>46</t>
        </is>
      </c>
      <c r="H24" s="2" t="n">
        <v>46</v>
      </c>
      <c r="I24" t="inlineStr">
        <is>
          <t>weight_only</t>
        </is>
      </c>
      <c r="J24" t="inlineStr"/>
      <c r="K24" t="inlineStr"/>
      <c r="L24" t="inlineStr"/>
      <c r="M24" s="2">
        <f>IF($H24="","",IF(OR(IF($J24="",$I24,$J24)="both",IF($J24="",$I24,$J24)="tariff_only"),$H24,0))</f>
        <v/>
      </c>
    </row>
    <row r="25">
      <c r="A25" t="inlineStr">
        <is>
          <t>AET053</t>
        </is>
      </c>
      <c r="B25" t="inlineStr">
        <is>
          <t>TREATMENT</t>
        </is>
      </c>
      <c r="C25" t="n">
        <v>3</v>
      </c>
      <c r="D25" t="inlineStr">
        <is>
          <t>Καθετήρας ουροδόχου κύστεως/ υπερηβικός</t>
        </is>
      </c>
      <c r="E25" t="inlineStr">
        <is>
          <t>SHSO-ER33</t>
        </is>
      </c>
      <c r="F25" t="inlineStr">
        <is>
          <t>Καθετήρας ουροδόχου κύστεως/ υπερηβικός</t>
        </is>
      </c>
      <c r="G25" t="inlineStr">
        <is>
          <t>45</t>
        </is>
      </c>
      <c r="H25" s="2" t="n">
        <v>45</v>
      </c>
      <c r="I25" t="inlineStr">
        <is>
          <t>weight_only</t>
        </is>
      </c>
      <c r="J25" t="inlineStr"/>
      <c r="K25" t="inlineStr"/>
      <c r="L25" t="inlineStr"/>
      <c r="M25" s="2">
        <f>IF($H25="","",IF(OR(IF($J25="",$I25,$J25)="both",IF($J25="",$I25,$J25)="tariff_only"),$H25,0))</f>
        <v/>
      </c>
    </row>
    <row r="26">
      <c r="A26" t="inlineStr">
        <is>
          <t>AET027</t>
        </is>
      </c>
      <c r="B26" t="inlineStr">
        <is>
          <t>TREATMENT</t>
        </is>
      </c>
      <c r="C26" t="n">
        <v>2</v>
      </c>
      <c r="D26" t="inlineStr">
        <is>
          <t>Νάρθηκας</t>
        </is>
      </c>
      <c r="E26" t="inlineStr">
        <is>
          <t>SHSO-ER23</t>
        </is>
      </c>
      <c r="F26" t="inlineStr">
        <is>
          <t>Νάρθηκας</t>
        </is>
      </c>
      <c r="G26" t="inlineStr">
        <is>
          <t>40</t>
        </is>
      </c>
      <c r="H26" s="2" t="n">
        <v>40</v>
      </c>
      <c r="I26" t="inlineStr">
        <is>
          <t>weight_only</t>
        </is>
      </c>
      <c r="J26" t="inlineStr"/>
      <c r="K26" t="inlineStr"/>
      <c r="L26" t="inlineStr"/>
      <c r="M26" s="2">
        <f>IF($H26="","",IF(OR(IF($J26="",$I26,$J26)="both",IF($J26="",$I26,$J26)="tariff_only"),$H26,0))</f>
        <v/>
      </c>
    </row>
    <row r="27">
      <c r="A27" t="inlineStr">
        <is>
          <t>AET040</t>
        </is>
      </c>
      <c r="B27" t="inlineStr">
        <is>
          <t>TREATMENT</t>
        </is>
      </c>
      <c r="C27" t="n">
        <v>2</v>
      </c>
      <c r="D27" t="inlineStr">
        <is>
          <t>Έλεγχος επίσταξης</t>
        </is>
      </c>
      <c r="E27" t="inlineStr">
        <is>
          <t>SHSO-ER46</t>
        </is>
      </c>
      <c r="F27" t="inlineStr">
        <is>
          <t>Έλεγχος επίσταξης</t>
        </is>
      </c>
      <c r="G27" t="inlineStr">
        <is>
          <t>40</t>
        </is>
      </c>
      <c r="H27" s="2" t="n">
        <v>40</v>
      </c>
      <c r="I27" t="inlineStr">
        <is>
          <t>weight_only</t>
        </is>
      </c>
      <c r="J27" t="inlineStr"/>
      <c r="K27" t="inlineStr"/>
      <c r="L27" t="inlineStr"/>
      <c r="M27" s="2">
        <f>IF($H27="","",IF(OR(IF($J27="",$I27,$J27)="both",IF($J27="",$I27,$J27)="tariff_only"),$H27,0))</f>
        <v/>
      </c>
    </row>
    <row r="28">
      <c r="A28" t="inlineStr">
        <is>
          <t>AET060</t>
        </is>
      </c>
      <c r="B28" t="inlineStr">
        <is>
          <t>TREATMENT</t>
        </is>
      </c>
      <c r="C28" t="n">
        <v>3</v>
      </c>
      <c r="D28" t="inlineStr">
        <is>
          <t>Αναρρόφηση από άρθρωση</t>
        </is>
      </c>
      <c r="E28" t="inlineStr">
        <is>
          <t>SHSO-ER27</t>
        </is>
      </c>
      <c r="F28" t="inlineStr">
        <is>
          <t>Αναρρόφηση από άρθρωση</t>
        </is>
      </c>
      <c r="G28" t="inlineStr">
        <is>
          <t>30</t>
        </is>
      </c>
      <c r="H28" s="2" t="n">
        <v>30</v>
      </c>
      <c r="I28" t="inlineStr">
        <is>
          <t>weight_only</t>
        </is>
      </c>
      <c r="J28" t="inlineStr"/>
      <c r="K28" t="inlineStr"/>
      <c r="L28" t="inlineStr"/>
      <c r="M28" s="2">
        <f>IF($H28="","",IF(OR(IF($J28="",$I28,$J28)="both",IF($J28="",$I28,$J28)="tariff_only"),$H28,0))</f>
        <v/>
      </c>
    </row>
    <row r="29">
      <c r="A29" t="inlineStr">
        <is>
          <t>AET031</t>
        </is>
      </c>
      <c r="B29" t="inlineStr">
        <is>
          <t>TREATMENT</t>
        </is>
      </c>
      <c r="C29" t="n">
        <v>2</v>
      </c>
      <c r="D29" t="inlineStr">
        <is>
          <t>Αναισθησία - τοπικό αναισθητικό</t>
        </is>
      </c>
      <c r="E29" t="inlineStr">
        <is>
          <t>SHSO-ER28</t>
        </is>
      </c>
      <c r="F29" t="inlineStr">
        <is>
          <t>Αναισθησία - τοπικό αναισθητικό</t>
        </is>
      </c>
      <c r="G29" t="inlineStr">
        <is>
          <t>30</t>
        </is>
      </c>
      <c r="H29" s="2" t="n">
        <v>30</v>
      </c>
      <c r="I29" t="inlineStr">
        <is>
          <t>weight_only</t>
        </is>
      </c>
      <c r="J29" t="inlineStr"/>
      <c r="K29" t="inlineStr"/>
      <c r="L29" t="inlineStr"/>
      <c r="M29" s="2">
        <f>IF($H29="","",IF(OR(IF($J29="",$I29,$J29)="both",IF($J29="",$I29,$J29)="tariff_only"),$H29,0))</f>
        <v/>
      </c>
    </row>
    <row r="30">
      <c r="A30" t="inlineStr">
        <is>
          <t>AET002</t>
        </is>
      </c>
      <c r="B30" t="inlineStr">
        <is>
          <t>TREATMENT</t>
        </is>
      </c>
      <c r="C30" t="n">
        <v>1</v>
      </c>
      <c r="D30" t="inlineStr">
        <is>
          <t>Αφαίρεση γύψου</t>
        </is>
      </c>
      <c r="E30" t="inlineStr">
        <is>
          <t>SHSO-ER19</t>
        </is>
      </c>
      <c r="F30" t="inlineStr">
        <is>
          <t>Αφαίρεση γύψου</t>
        </is>
      </c>
      <c r="G30" t="inlineStr">
        <is>
          <t>25</t>
        </is>
      </c>
      <c r="H30" s="2" t="n">
        <v>25</v>
      </c>
      <c r="I30" t="inlineStr">
        <is>
          <t>weight_only</t>
        </is>
      </c>
      <c r="J30" t="inlineStr"/>
      <c r="K30" t="inlineStr"/>
      <c r="L30" t="inlineStr"/>
      <c r="M30" s="2">
        <f>IF($H30="","",IF(OR(IF($J30="",$I30,$J30)="both",IF($J30="",$I30,$J30)="tariff_only"),$H30,0))</f>
        <v/>
      </c>
    </row>
    <row r="31">
      <c r="A31" t="inlineStr">
        <is>
          <t>AET062</t>
        </is>
      </c>
      <c r="B31" t="inlineStr">
        <is>
          <t>TREATMENT</t>
        </is>
      </c>
      <c r="C31" t="n">
        <v>3</v>
      </c>
      <c r="D31" t="inlineStr">
        <is>
          <t>Χορηγήθηκε φάρμακο - ενδομυϊκά</t>
        </is>
      </c>
      <c r="E31" t="inlineStr">
        <is>
          <t>SHSO-ER9</t>
        </is>
      </c>
      <c r="F31" t="inlineStr">
        <is>
          <t>Χορηγήθηκε φάρμακο - ενδομυϊκά</t>
        </is>
      </c>
      <c r="G31" t="inlineStr">
        <is>
          <t>20</t>
        </is>
      </c>
      <c r="H31" s="2" t="n">
        <v>20</v>
      </c>
      <c r="I31" t="inlineStr">
        <is>
          <t>weight_only</t>
        </is>
      </c>
      <c r="J31" t="inlineStr"/>
      <c r="K31" t="inlineStr"/>
      <c r="L31" t="inlineStr"/>
      <c r="M31" s="2">
        <f>IF($H31="","",IF(OR(IF($J31="",$I31,$J31)="both",IF($J31="",$I31,$J31)="tariff_only"),$H31,0))</f>
        <v/>
      </c>
    </row>
    <row r="32">
      <c r="A32" t="inlineStr">
        <is>
          <t>AET063</t>
        </is>
      </c>
      <c r="B32" t="inlineStr">
        <is>
          <t>TREATMENT</t>
        </is>
      </c>
      <c r="C32" t="n">
        <v>3</v>
      </c>
      <c r="D32" t="inlineStr">
        <is>
          <t>Χορηγήθηκε φάρμακο - υποδόρια</t>
        </is>
      </c>
      <c r="E32" t="inlineStr">
        <is>
          <t>SHSO-ER10</t>
        </is>
      </c>
      <c r="F32" t="inlineStr">
        <is>
          <t>Χορηγήθηκε φάρμακο - υποδόρια</t>
        </is>
      </c>
      <c r="G32" t="inlineStr">
        <is>
          <t>20</t>
        </is>
      </c>
      <c r="H32" s="2" t="n">
        <v>20</v>
      </c>
      <c r="I32" t="inlineStr">
        <is>
          <t>weight_only</t>
        </is>
      </c>
      <c r="J32" t="inlineStr"/>
      <c r="K32" t="inlineStr"/>
      <c r="L32" t="inlineStr"/>
      <c r="M32" s="2">
        <f>IF($H32="","",IF(OR(IF($J32="",$I32,$J32)="both",IF($J32="",$I32,$J32)="tariff_only"),$H32,0))</f>
        <v/>
      </c>
    </row>
    <row r="33">
      <c r="A33" t="inlineStr">
        <is>
          <t>AED001</t>
        </is>
      </c>
      <c r="B33" t="inlineStr">
        <is>
          <t>INVESTIGATION</t>
        </is>
      </c>
      <c r="C33" t="n">
        <v>1</v>
      </c>
      <c r="D33" t="inlineStr">
        <is>
          <t>Καρδιογράφημα</t>
        </is>
      </c>
      <c r="E33" t="inlineStr">
        <is>
          <t>SHSO-ER11</t>
        </is>
      </c>
      <c r="F33" t="inlineStr">
        <is>
          <t>Καρδιογράφημα</t>
        </is>
      </c>
      <c r="G33" t="inlineStr">
        <is>
          <t>20</t>
        </is>
      </c>
      <c r="H33" s="2" t="n">
        <v>20</v>
      </c>
      <c r="I33" t="inlineStr">
        <is>
          <t>weight_only</t>
        </is>
      </c>
      <c r="J33" t="inlineStr"/>
      <c r="K33" t="inlineStr"/>
      <c r="L33" t="inlineStr"/>
      <c r="M33" s="2">
        <f>IF($H33="","",IF(OR(IF($J33="",$I33,$J33)="both",IF($J33="",$I33,$J33)="tariff_only"),$H33,0))</f>
        <v/>
      </c>
    </row>
    <row r="34">
      <c r="A34" t="inlineStr">
        <is>
          <t>AET056</t>
        </is>
      </c>
      <c r="B34" t="inlineStr">
        <is>
          <t>TREATMENT</t>
        </is>
      </c>
      <c r="C34" t="n">
        <v>3</v>
      </c>
      <c r="D34" t="inlineStr">
        <is>
          <t>Νεφελοποιητής/ αεροθάλαμος</t>
        </is>
      </c>
      <c r="E34" t="inlineStr">
        <is>
          <t>SHSO-ER36</t>
        </is>
      </c>
      <c r="F34" t="inlineStr">
        <is>
          <t>Νεφελοποιητής/ αεροθάλαμος</t>
        </is>
      </c>
      <c r="G34" t="inlineStr">
        <is>
          <t>20 €</t>
        </is>
      </c>
      <c r="H34" s="2" t="n">
        <v>20</v>
      </c>
      <c r="I34" t="inlineStr">
        <is>
          <t>weight_only</t>
        </is>
      </c>
      <c r="J34" t="inlineStr"/>
      <c r="K34" t="inlineStr"/>
      <c r="L34" t="inlineStr"/>
      <c r="M34" s="2">
        <f>IF($H34="","",IF(OR(IF($J34="",$I34,$J34)="both",IF($J34="",$I34,$J34)="tariff_only"),$H34,0))</f>
        <v/>
      </c>
    </row>
    <row r="35">
      <c r="A35" t="inlineStr">
        <is>
          <t>AET043</t>
        </is>
      </c>
      <c r="B35" t="inlineStr">
        <is>
          <t>TREATMENT</t>
        </is>
      </c>
      <c r="C35" t="n">
        <v>2</v>
      </c>
      <c r="D35" t="inlineStr">
        <is>
          <t>Έγχυση υγρών</t>
        </is>
      </c>
      <c r="E35" t="inlineStr">
        <is>
          <t>SHSO-ER39</t>
        </is>
      </c>
      <c r="F35" t="inlineStr">
        <is>
          <t>Έγχυση υγρών</t>
        </is>
      </c>
      <c r="G35" t="inlineStr">
        <is>
          <t>20€   / συν 5€  ανά ωρα</t>
        </is>
      </c>
      <c r="H35" s="2" t="n">
        <v>20</v>
      </c>
      <c r="I35" t="inlineStr">
        <is>
          <t>weight_only</t>
        </is>
      </c>
      <c r="J35" t="inlineStr"/>
      <c r="K35" t="inlineStr"/>
      <c r="L35" t="inlineStr"/>
      <c r="M35" s="2">
        <f>IF($H35="","",IF(OR(IF($J35="",$I35,$J35)="both",IF($J35="",$I35,$J35)="tariff_only"),$H35,0))</f>
        <v/>
      </c>
    </row>
    <row r="36">
      <c r="A36" t="inlineStr">
        <is>
          <t>AED003</t>
        </is>
      </c>
      <c r="B36" t="inlineStr">
        <is>
          <t>INVESTIGATION</t>
        </is>
      </c>
      <c r="C36" t="n">
        <v>1</v>
      </c>
      <c r="D36" t="inlineStr">
        <is>
          <t>Τεστ εγκυμοσύνης</t>
        </is>
      </c>
      <c r="E36" t="inlineStr">
        <is>
          <t>SHSO-ER1</t>
        </is>
      </c>
      <c r="F36" t="inlineStr">
        <is>
          <t>Τεστ εγκυμοσύνης</t>
        </is>
      </c>
      <c r="G36" t="inlineStr">
        <is>
          <t>12</t>
        </is>
      </c>
      <c r="H36" s="2" t="n">
        <v>12</v>
      </c>
      <c r="I36" t="inlineStr">
        <is>
          <t>weight_only</t>
        </is>
      </c>
      <c r="J36" t="inlineStr"/>
      <c r="K36" t="inlineStr"/>
      <c r="L36" t="inlineStr"/>
      <c r="M36" s="2">
        <f>IF($H36="","",IF(OR(IF($J36="",$I36,$J36)="both",IF($J36="",$I36,$J36)="tariff_only"),$H36,0))</f>
        <v/>
      </c>
    </row>
    <row r="37">
      <c r="A37" t="inlineStr">
        <is>
          <t>AET001</t>
        </is>
      </c>
      <c r="B37" t="inlineStr">
        <is>
          <t>TREATMENT</t>
        </is>
      </c>
      <c r="C37" t="n">
        <v>1</v>
      </c>
      <c r="D37" t="inlineStr">
        <is>
          <t>Επίδεση/υποστήριξη</t>
        </is>
      </c>
      <c r="E37" t="inlineStr">
        <is>
          <t>SHSO-ER20</t>
        </is>
      </c>
      <c r="F37" t="inlineStr">
        <is>
          <t>Επίδεση/υποστήριξη</t>
        </is>
      </c>
      <c r="G37" t="inlineStr">
        <is>
          <t>10</t>
        </is>
      </c>
      <c r="H37" s="2" t="n">
        <v>10</v>
      </c>
      <c r="I37" t="inlineStr">
        <is>
          <t>weight_only</t>
        </is>
      </c>
      <c r="J37" t="inlineStr"/>
      <c r="K37" t="inlineStr"/>
      <c r="L37" t="inlineStr"/>
      <c r="M37" s="2">
        <f>IF($H37="","",IF(OR(IF($J37="",$I37,$J37)="both",IF($J37="",$I37,$J37)="tariff_only"),$H37,0))</f>
        <v/>
      </c>
    </row>
    <row r="38">
      <c r="A38" t="inlineStr">
        <is>
          <t>AET014</t>
        </is>
      </c>
      <c r="B38" t="inlineStr">
        <is>
          <t>TREATMENT</t>
        </is>
      </c>
      <c r="C38" t="n">
        <v>1</v>
      </c>
      <c r="D38" t="inlineStr">
        <is>
          <t>ιμάντας/ κολλάρο ανάρτησης χειρός, ευρύς επίδεσμος ανάρτησης ώμου</t>
        </is>
      </c>
      <c r="E38" t="inlineStr">
        <is>
          <t>SHSO-ER22</t>
        </is>
      </c>
      <c r="F38" t="inlineStr">
        <is>
          <t>Ιμάντας/ κολλάρο ανάρτησης χειρός, ευρύς επίδεσμος ανάρτησης ώμου</t>
        </is>
      </c>
      <c r="G38" t="inlineStr">
        <is>
          <t>10</t>
        </is>
      </c>
      <c r="H38" s="2" t="n">
        <v>10</v>
      </c>
      <c r="I38" t="inlineStr">
        <is>
          <t>weight_only</t>
        </is>
      </c>
      <c r="J38" t="inlineStr"/>
      <c r="K38" t="inlineStr"/>
      <c r="L38" t="inlineStr"/>
      <c r="M38" s="2">
        <f>IF($H38="","",IF(OR(IF($J38="",$I38,$J38)="both",IF($J38="",$I38,$J38)="tariff_only"),$H38,0))</f>
        <v/>
      </c>
    </row>
    <row r="39">
      <c r="A39" t="inlineStr">
        <is>
          <t>AED005</t>
        </is>
      </c>
      <c r="B39" t="inlineStr">
        <is>
          <t>INVESTIGATION</t>
        </is>
      </c>
      <c r="C39" t="n">
        <v>2</v>
      </c>
      <c r="D39" t="inlineStr">
        <is>
          <t>Ακτινογραφία</t>
        </is>
      </c>
      <c r="E39" t="inlineStr">
        <is>
          <t>SHSO-ER3</t>
        </is>
      </c>
      <c r="F39" t="inlineStr">
        <is>
          <t>Ακτινογραφία</t>
        </is>
      </c>
      <c r="G39" t="inlineStr">
        <is>
          <t>Χρέωση ανάλογα με το ανατομικό σημείο σύμφωνα με τον τιμοκατάλογο ΟΚΥΠΥ της Ακτινοδιαγνωστικής</t>
        </is>
      </c>
      <c r="H39" s="2" t="n"/>
      <c r="I39" t="inlineStr">
        <is>
          <t>weight_only</t>
        </is>
      </c>
      <c r="J39" t="inlineStr"/>
      <c r="K39" t="inlineStr"/>
      <c r="L39" t="inlineStr"/>
      <c r="M39" s="2">
        <f>IF($H39="","",IF(OR(IF($J39="",$I39,$J39)="both",IF($J39="",$I39,$J39)="tariff_only"),$H39,0))</f>
        <v/>
      </c>
    </row>
    <row r="40">
      <c r="A40" t="inlineStr">
        <is>
          <t>AED019</t>
        </is>
      </c>
      <c r="B40" t="inlineStr">
        <is>
          <t>INVESTIGATION</t>
        </is>
      </c>
      <c r="C40" t="n">
        <v>3</v>
      </c>
      <c r="D40" t="inlineStr">
        <is>
          <t>Υπερηχογράφημα</t>
        </is>
      </c>
      <c r="E40" t="inlineStr">
        <is>
          <t>SHSO-ER4</t>
        </is>
      </c>
      <c r="F40" t="inlineStr">
        <is>
          <t>Υπερηχογράφημα</t>
        </is>
      </c>
      <c r="G40" t="inlineStr">
        <is>
          <t>Χρέωση ανάλογα με το ανατομικό σημείο σύμφωνα με τον τιμοκατάλογο ΟΚΥΠΥ της Ακτινοδιαγνωστικής</t>
        </is>
      </c>
      <c r="H40" s="2" t="n"/>
      <c r="I40" t="inlineStr">
        <is>
          <t>weight_only</t>
        </is>
      </c>
      <c r="J40" t="inlineStr"/>
      <c r="K40" t="inlineStr"/>
      <c r="L40" t="inlineStr"/>
      <c r="M40" s="2">
        <f>IF($H40="","",IF(OR(IF($J40="",$I40,$J40)="both",IF($J40="",$I40,$J40)="tariff_only"),$H40,0))</f>
        <v/>
      </c>
    </row>
    <row r="41">
      <c r="A41" t="inlineStr">
        <is>
          <t>AED021</t>
        </is>
      </c>
      <c r="B41" t="inlineStr">
        <is>
          <t>INVESTIGATION</t>
        </is>
      </c>
      <c r="C41" t="n">
        <v>3</v>
      </c>
      <c r="D41" t="inlineStr">
        <is>
          <t>Αξονική Τομογραφία (αποκλείει τομογραφία ουροποιογεννητικού συστήματος με σκιαγραφικό</t>
        </is>
      </c>
      <c r="E41" t="inlineStr">
        <is>
          <t>SHSO-ER5</t>
        </is>
      </c>
      <c r="F41" t="inlineStr">
        <is>
          <t>Αξονική Τομογραφία (αποκλείει τομογραφία ουροποιογεννητικού συστήματος με σκιαγραφικό</t>
        </is>
      </c>
      <c r="G41" t="inlineStr">
        <is>
          <t>Χρέωση ανάλογα με το ανατομικό σημείο σύμφωνα με τον τιμοκατάλογο ΟΚΥΠΥ της Ακτινοδιαγνωστικής</t>
        </is>
      </c>
      <c r="H41" s="2" t="n"/>
      <c r="I41" t="inlineStr">
        <is>
          <t>weight_only</t>
        </is>
      </c>
      <c r="J41" t="inlineStr"/>
      <c r="K41" t="inlineStr"/>
      <c r="L41" t="inlineStr"/>
      <c r="M41" s="2">
        <f>IF($H41="","",IF(OR(IF($J41="",$I41,$J41)="both",IF($J41="",$I41,$J41)="tariff_only"),$H41,0))</f>
        <v/>
      </c>
    </row>
    <row r="42">
      <c r="A42" t="inlineStr">
        <is>
          <t>AED020</t>
        </is>
      </c>
      <c r="B42" t="inlineStr">
        <is>
          <t>INVESTIGATION</t>
        </is>
      </c>
      <c r="C42" t="n">
        <v>3</v>
      </c>
      <c r="D42" t="inlineStr">
        <is>
          <t>Μαγνητική τομογραφία</t>
        </is>
      </c>
      <c r="E42" t="inlineStr">
        <is>
          <t>SHSO-ER6</t>
        </is>
      </c>
      <c r="F42" t="inlineStr">
        <is>
          <t>Μαγνητική τομογραφία</t>
        </is>
      </c>
      <c r="G42" t="inlineStr">
        <is>
          <t>Χρέωση ανάλογα με το ανατομικό σημείο σύμφωνα με τον τιμοκατάλογο ΟΚΥΠΥ της Ακτινοδιαγνωστικής</t>
        </is>
      </c>
      <c r="H42" s="2" t="n"/>
      <c r="I42" t="inlineStr">
        <is>
          <t>weight_only</t>
        </is>
      </c>
      <c r="J42" t="inlineStr"/>
      <c r="K42" t="inlineStr"/>
      <c r="L42" t="inlineStr"/>
      <c r="M42" s="2">
        <f>IF($H42="","",IF(OR(IF($J42="",$I42,$J42)="both",IF($J42="",$I42,$J42)="tariff_only"),$H42,0))</f>
        <v/>
      </c>
    </row>
    <row r="44">
      <c r="I44" s="3" t="inlineStr">
        <is>
          <t>Ζεύγη χωρίς απόφαση</t>
        </is>
      </c>
      <c r="J44" s="3">
        <f>COUNTBLANK(J2:J42)</f>
        <v/>
      </c>
    </row>
    <row r="45">
      <c r="I45" s="3" t="inlineStr">
        <is>
          <t>Πρόσθετη χρέωση με τις τρέχουσες αποφάσεις €</t>
        </is>
      </c>
      <c r="J45" s="4">
        <f>SUM(M2:M42)</f>
        <v/>
      </c>
    </row>
    <row r="46">
      <c r="I46" s="3" t="inlineStr">
        <is>
          <t>Πρόσθετη χρέωση αν όλα κριθούν «both» €</t>
        </is>
      </c>
      <c r="J46" s="4">
        <f>SUM(H2:H42)</f>
        <v/>
      </c>
    </row>
  </sheetData>
  <autoFilter ref="A1:M42"/>
  <dataValidations count="1">
    <dataValidation sqref="J2:J42" showDropDown="0" showInputMessage="0" showErrorMessage="0" allowBlank="1" errorTitle="Μη έγκυρη απόφαση" error="Επιλέξτε weight_only, tariff_only ή both." type="list">
      <formula1>"weight_only,tariff_only,both"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6" customWidth="1" min="2" max="2"/>
    <col width="26" customWidth="1" min="3" max="3"/>
    <col width="12" customWidth="1" min="4" max="4"/>
  </cols>
  <sheetData>
    <row r="1">
      <c r="A1" s="5" t="inlineStr">
        <is>
          <t>Κωδικός</t>
        </is>
      </c>
      <c r="B1" s="5" t="inlineStr">
        <is>
          <t>Περιγραφή</t>
        </is>
      </c>
      <c r="C1" s="5" t="inlineStr">
        <is>
          <t>Τιμή (όπως δόθηκε)</t>
        </is>
      </c>
      <c r="D1" s="5" t="inlineStr">
        <is>
          <t>Τιμή €</t>
        </is>
      </c>
    </row>
    <row r="2">
      <c r="A2" t="inlineStr">
        <is>
          <t>SHSO-ER0</t>
        </is>
      </c>
      <c r="B2" t="inlineStr">
        <is>
          <t>Δεν χρήζει φροντίδας στα ΤΑΕΠ (Επιπλέον χρέωση)</t>
        </is>
      </c>
      <c r="C2" t="inlineStr">
        <is>
          <t>25</t>
        </is>
      </c>
      <c r="D2" s="2" t="n">
        <v>25</v>
      </c>
    </row>
    <row r="3">
      <c r="A3" t="inlineStr">
        <is>
          <t>SHSO-ER2</t>
        </is>
      </c>
      <c r="B3" t="inlineStr">
        <is>
          <t>Τοξικολογικές εξετάσεις / Κάθε ουσία / Πενταπλό / Δεκαπλό</t>
        </is>
      </c>
      <c r="C3" t="inlineStr">
        <is>
          <t>15€  / 60€   / 70€</t>
        </is>
      </c>
      <c r="D3" s="2" t="n">
        <v>15</v>
      </c>
    </row>
    <row r="4">
      <c r="A4" t="inlineStr">
        <is>
          <t>SHSO-ER16</t>
        </is>
      </c>
      <c r="B4" t="inlineStr">
        <is>
          <t>Θεραπευτικό πλύσιμο οργάνου (πλύση), πλύση οφθαλμού / 3 ώρες  / Παρουσία οφθαλμιάτρου</t>
        </is>
      </c>
      <c r="C4" t="inlineStr">
        <is>
          <t>50 € / 120 €  / 200 € / συν αναλώσιμα</t>
        </is>
      </c>
      <c r="D4" s="2" t="n">
        <v>50</v>
      </c>
    </row>
    <row r="5">
      <c r="A5" t="inlineStr">
        <is>
          <t>SHSO-ER18</t>
        </is>
      </c>
      <c r="B5" t="inlineStr">
        <is>
          <t>Οφθαλμός- ένεση κάτω από τον επιπεφυκότα</t>
        </is>
      </c>
      <c r="C5" t="inlineStr">
        <is>
          <t>20</t>
        </is>
      </c>
      <c r="D5" s="2" t="n">
        <v>20</v>
      </c>
    </row>
    <row r="6">
      <c r="A6" t="inlineStr">
        <is>
          <t>SHSO-ER29</t>
        </is>
      </c>
      <c r="B6" t="inlineStr">
        <is>
          <t>Τέτανος</t>
        </is>
      </c>
      <c r="C6" t="inlineStr">
        <is>
          <t>5</t>
        </is>
      </c>
      <c r="D6" s="2" t="n">
        <v>5</v>
      </c>
    </row>
    <row r="7">
      <c r="A7" t="inlineStr">
        <is>
          <t>SHSO-ER43</t>
        </is>
      </c>
      <c r="B7" t="inlineStr">
        <is>
          <t>Μικρό Χειρουργείο</t>
        </is>
      </c>
      <c r="C7" t="inlineStr">
        <is>
          <t>150</t>
        </is>
      </c>
      <c r="D7" s="2" t="n">
        <v>150</v>
      </c>
    </row>
    <row r="8">
      <c r="A8" t="inlineStr">
        <is>
          <t>SHSO-ER44</t>
        </is>
      </c>
      <c r="B8" t="inlineStr">
        <is>
          <t>Θρομβόλυση σε ΑΕΕ , Πνευμονική Εμβολή και Οξύ Εμφραγμα Μυοκαρδίου</t>
        </is>
      </c>
      <c r="C8" t="inlineStr">
        <is>
          <t>345</t>
        </is>
      </c>
      <c r="D8" s="2" t="n">
        <v>345</v>
      </c>
    </row>
    <row r="9">
      <c r="A9" t="inlineStr">
        <is>
          <t>SHSO-ER47</t>
        </is>
      </c>
      <c r="B9" t="inlineStr">
        <is>
          <t>Θεραπευτικό πλύσιμο οργάνου (πλύση), εμετός, ενεργός άνθρακας</t>
        </is>
      </c>
      <c r="C9" t="inlineStr">
        <is>
          <t>150</t>
        </is>
      </c>
      <c r="D9" s="2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2026-09-14T13:19:13Z</dcterms:created>
  <dcterms:modified xmlns:dcterms="http://purl.org/dc/terms/" xmlns:xsi="http://www.w3.org/2001/XMLSchema-instance" xsi:type="dcterms:W3CDTF">2026-09-14T13:19:13Z</dcterms:modified>
</cp:coreProperties>
</file>