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Α)Capex Plan-Updated - clean" state="visible" r:id="rId4"/>
  </sheets>
  <calcPr calcId="171027"/>
</workbook>
</file>

<file path=xl/sharedStrings.xml><?xml version="1.0" encoding="utf-8"?>
<sst xmlns="http://schemas.openxmlformats.org/spreadsheetml/2006/main" count="1093" uniqueCount="179">
  <si>
    <t>MASTER_FILE - ΑΝΑΠΤΥΞΙΑΚΟΣ ΠΡΟΫΠΟΛΟΓΙΣΜΟΣ - Αναθεώρηση Budget 2026 (συνθετικό αρχείο δοκιμών)</t>
  </si>
  <si>
    <t>Δεν περιέχει πραγματικά στοιχεία. Παράγεται από build-capex-fixture.ts.</t>
  </si>
  <si>
    <t>ΚΑΤΗΓΟΡΙΑ ΔΑΠΑΝΗΣ</t>
  </si>
  <si>
    <t>Α/Α</t>
  </si>
  <si>
    <t>Διεύθυνση</t>
  </si>
  <si>
    <t>ΝΟΣΟΚΟΜΕΙΟ</t>
  </si>
  <si>
    <t>ΕΡΓΟ</t>
  </si>
  <si>
    <t>ΚΩΔΙΚΟΣ SAP</t>
  </si>
  <si>
    <t>ΑΡΘΡΟ</t>
  </si>
  <si>
    <t>Δεσμεύσεις ΠτΚΔ?</t>
  </si>
  <si>
    <t>Στο Σχέδιο Δράσης?</t>
  </si>
  <si>
    <t>Προϋπολογισμός 2026?</t>
  </si>
  <si>
    <t>Συμβατική Υποχρέωση</t>
  </si>
  <si>
    <t>Χρηματοδότηση από 3ους?</t>
  </si>
  <si>
    <t>Ποσό Χρηματοδότησης</t>
  </si>
  <si>
    <t>Ποσό Χρηματοδότησης (Αναθεωρημένο)</t>
  </si>
  <si>
    <t>ΕΚΤΙΜΩΜΕΝΗ ΣΥΝΟΛΙΚΗ ΔΑΠΑΝΗ (incl. VAT)</t>
  </si>
  <si>
    <t>Ημερομηνία έναρξης</t>
  </si>
  <si>
    <t>Ημερομηνία ολοκλήρωσης</t>
  </si>
  <si>
    <t>% Υλοποίησης</t>
  </si>
  <si>
    <t>Πραγματική δαπάνη από αρχή έργου μέχρι 03/2026</t>
  </si>
  <si>
    <t>Εκτιμώμενη δαπάνη υπόλοιπο 2026</t>
  </si>
  <si>
    <t>ΔΑΠΑΝΗ 2026</t>
  </si>
  <si>
    <t>ΔΑΠΑΝΗ 2027</t>
  </si>
  <si>
    <t>ΔΑΠΑΝΗ 2028</t>
  </si>
  <si>
    <t>ΔΑΠΑΝΕΣ ΜΕΤΑ ΤΟ 2028</t>
  </si>
  <si>
    <t>ΣΥΝΟΛΟ</t>
  </si>
  <si>
    <t>TOTALS CHECK</t>
  </si>
  <si>
    <t>ΣΤΑΔΙΟ ΥΛΟΠΟΙΗΣΗΣ</t>
  </si>
  <si>
    <t>Αναθεωρημένη ημ. έναρξης</t>
  </si>
  <si>
    <t>Αναθεωρημένη ημ. ολοκλήρωσης</t>
  </si>
  <si>
    <t>Σχόλια από Τεχνικό Τμήμα</t>
  </si>
  <si>
    <t>Αρχείο Εσωτερικού Ελέγχου</t>
  </si>
  <si>
    <t>ΠΡΟΫΠΟΛΟΓΙΣΜΟΣ 2025</t>
  </si>
  <si>
    <t>ΠΡΟΫΠΟΛΟΓΙΣΜΟΣ 2026</t>
  </si>
  <si>
    <t>ΠΡΟΫΠΟΛΟΓΙΣΜΟΣ 2027</t>
  </si>
  <si>
    <t>ΠΡΟΫΠΟΛΟΓΙΣΜΟΣ μετά το 2027</t>
  </si>
  <si>
    <t>Αναπτυξιακά Έργα</t>
  </si>
  <si>
    <t>ΛΕΥΚΩΣΙΑΣ</t>
  </si>
  <si>
    <t>Γ.Ν. ΛΕΥΚΩΣΙΑΣ</t>
  </si>
  <si>
    <t>Ανακαίνιση χειρουργείων Α΄ πτέρυγας</t>
  </si>
  <si>
    <t>08021</t>
  </si>
  <si>
    <t>ΝΑΙ</t>
  </si>
  <si>
    <t>ΣΑΑ</t>
  </si>
  <si>
    <t>ΣΕ ΕΞΕΛΙΞΗ</t>
  </si>
  <si>
    <t>Η μελέτη εφαρμογής ολοκληρώθηκε και εκκρεμεί η έγκριση της Τεχνικής Επιτροπής. Η καθυστέρηση οφείλεται στην αναθεώρηση των προδιαγραφών κλιματισμού.</t>
  </si>
  <si>
    <t>Ανακαίνιση μαγειρείων Γ΄ πτέρυγας</t>
  </si>
  <si>
    <t>ΝΑΙ - 13.21</t>
  </si>
  <si>
    <t>ΟΛΟΚΛΗΡΩΘΗΚΕ</t>
  </si>
  <si>
    <t>Ο διαγωνισμός κηρύχθηκε άγονος και επαναπροκηρύχθηκε. Νέα ημερομηνία υποβολής προσφορών εντός του πρώτου τριμήνου.</t>
  </si>
  <si>
    <t>Αντικατάσταση κουφωμάτων πρώτου ορόφου</t>
  </si>
  <si>
    <t>08023</t>
  </si>
  <si>
    <t>ΣΤΑΔΙΟ ΠΡΟΕΤΟΙΜΑΣΙΑΣ</t>
  </si>
  <si>
    <t>ΕΠΕΚΤΑΣΗ ΤΑΕΠ ΛΕΥΚΩΣΙΑΣ</t>
  </si>
  <si>
    <t>Εκκρεμεί η άδεια οικοδομής από την αρμόδια αρχή. Το χρονοδιάγραμμα αναθεωρήθηκε ανάλογα.</t>
  </si>
  <si>
    <t>Αναβάθμιση συστήματος κλιματισμού Α΄ πτέρυγας</t>
  </si>
  <si>
    <t>08022</t>
  </si>
  <si>
    <t>Η σύμβαση υπογράφηκε και ο ανάδοχος εγκαταστάθηκε στο εργοτάξιο. Δεν υπάρχουν εκκρεμότητες.</t>
  </si>
  <si>
    <t>1α</t>
  </si>
  <si>
    <t>Στεγάνωση δώματος Γ΄ πτέρυγας</t>
  </si>
  <si>
    <t>ΝΑΙ - 13.25</t>
  </si>
  <si>
    <t>Δημιουργία μονάδας τεχνητού νεφρού πρώτου ορόφου</t>
  </si>
  <si>
    <t>Η προμήθεια του εξοπλισμού καθυστερεί λόγω χρόνου παράδοσης από τον κατασκευαστή. Παρακολουθείται σε μηνιαία βάση.</t>
  </si>
  <si>
    <t>Ανακαίνιση μικροβιολογικού εργαστηρίου παλαιάς πτέρυγας</t>
  </si>
  <si>
    <t>Το έργο εντάχθηκε στο Σχέδιο Ανάκαμψης και Ανθεκτικότητας και ακολουθεί το χρονοδιάγραμμα του Σχεδίου.</t>
  </si>
  <si>
    <t>Αντικατάσταση κουφωμάτων Β΄ πτέρυγας (μικρές ανάγκες 2026)</t>
  </si>
  <si>
    <t>Διαμόρφωση χώρων εξωτερικών ιατρείων Γ΄ πτέρυγας</t>
  </si>
  <si>
    <t>ΝΑΙ - 13.20</t>
  </si>
  <si>
    <t>Ανακαίνιση φαρμακείου πρώτου ορόφου</t>
  </si>
  <si>
    <t>Οι εργασίες εκτελούνται τμηματικά, ώστε το τμήμα να παραμένει σε λειτουργία. Η ολοκλήρωση μετατίθεται κατά ένα τρίμηνο.</t>
  </si>
  <si>
    <t>Επέκταση αποθηκευτικών χώρων παλαιάς πτέρυγας</t>
  </si>
  <si>
    <t>Αναβάθμιση ηλεκτρολογικής εγκατάστασης Α΄ πτέρυγας</t>
  </si>
  <si>
    <t>ΝΑΙ - €129.5</t>
  </si>
  <si>
    <t>Επέκταση χώρου στάθμευσης Γ΄ πτέρυγας</t>
  </si>
  <si>
    <t>ΝΑΙ - 13.24</t>
  </si>
  <si>
    <t>Απαιτήθηκε συμπληρωματική μελέτη στατικής επάρκειας, η οποία μετέθεσε την έναρξη των εργασιών.</t>
  </si>
  <si>
    <t>Αναβάθμιση συστήματος κλήσης νοσηλευτή πρώτου ορόφου</t>
  </si>
  <si>
    <t>Ανακαίνιση χειρουργείων παλαιάς πτέρυγας</t>
  </si>
  <si>
    <t>Ανακαίνιση μαγειρείων Α΄ πτέρυγας</t>
  </si>
  <si>
    <t>2α</t>
  </si>
  <si>
    <t>Αντικατάσταση κουφωμάτων Γ΄ πτέρυγας</t>
  </si>
  <si>
    <t>ΝΑΙ - 13.28</t>
  </si>
  <si>
    <t>Διαμόρφωση χώρου αποστείρωσης πρώτου ορόφου</t>
  </si>
  <si>
    <t>Αναβάθμιση συστήματος κλιματισμού παλαιάς πτέρυγας</t>
  </si>
  <si>
    <t>ΛΑΡΝΑΚΑΣ-ΑΜΜΟΧΩΣΤΟΥ</t>
  </si>
  <si>
    <t>Γ.Ν. ΛΑΡΝΑΚΑΣ</t>
  </si>
  <si>
    <t>ΝΑΙ - 13.23</t>
  </si>
  <si>
    <t>ΝΑΙ - 13.27</t>
  </si>
  <si>
    <t>ΝΑΙ (μόνο δαπάνη 2026)</t>
  </si>
  <si>
    <t>ΝΑΙ - 13.22</t>
  </si>
  <si>
    <t>Στεγάνωση δώματος Α΄ πτέρυγας</t>
  </si>
  <si>
    <t>εντός 2026</t>
  </si>
  <si>
    <t>3α</t>
  </si>
  <si>
    <t>Δημιουργία μονάδας τεχνητού νεφρού Γ΄ πτέρυγας</t>
  </si>
  <si>
    <t>Ανακαίνιση μικροβιολογικού εργαστηρίου πρώτου ορόφου</t>
  </si>
  <si>
    <t>Ανακαίνιση θαλάμων νοσηλείας παλαιάς πτέρυγας</t>
  </si>
  <si>
    <t>ΝΑΙ - 13.26</t>
  </si>
  <si>
    <t>ΛΕΜΕΣΟΥ-ΠΑΦΟΥ</t>
  </si>
  <si>
    <t>Γ.Ν. ΠΑΦΟΥ</t>
  </si>
  <si>
    <t>Επέκταση αποθηκευτικών χώρων Γ΄ πτέρυγας</t>
  </si>
  <si>
    <t>Αναβάθμιση ηλεκτρολογικής εγκατάστασης πρώτου ορόφου</t>
  </si>
  <si>
    <t>Επέκταση χώρου στάθμευσης παλαιάς πτέρυγας</t>
  </si>
  <si>
    <t>Αναβάθμιση συστήματος κλήσης νοσηλευτή Α΄ πτέρυγας</t>
  </si>
  <si>
    <t>Ανακαίνιση χειρουργείων Γ΄ πτέρυγας</t>
  </si>
  <si>
    <t>Ανακαίνιση μαγειρείων πρώτου ορόφου</t>
  </si>
  <si>
    <t>Αντικατάσταση κουφωμάτων παλαιάς πτέρυγας</t>
  </si>
  <si>
    <t>Διαμόρφωση χώρου αποστείρωσης Α΄ πτέρυγας</t>
  </si>
  <si>
    <t>Αναβάθμιση συστήματος κλιματισμού Γ΄ πτέρυγας</t>
  </si>
  <si>
    <t>Στεγάνωση δώματος πρώτου ορόφου</t>
  </si>
  <si>
    <t>Δημιουργία μονάδας τεχνητού νεφρού παλαιάς πτέρυγας</t>
  </si>
  <si>
    <t>περίπου 1,2 εκ.</t>
  </si>
  <si>
    <t>Ανακαίνιση μικροβιολογικού εργαστηρίου Α΄ πτέρυγας</t>
  </si>
  <si>
    <t>Ανακαίνιση θαλάμων νοσηλείας Γ΄ πτέρυγας</t>
  </si>
  <si>
    <t>4α</t>
  </si>
  <si>
    <t>Γ.Ν. ΛΕΜΕΣΟΥ</t>
  </si>
  <si>
    <t>Ανακαίνιση παθολογικής κλινικής νέας πτέρυγας</t>
  </si>
  <si>
    <t>Εγκατάσταση εφεδρικής γεννήτριας Β΄ πτέρυγας</t>
  </si>
  <si>
    <t>Αναβάθμιση μηχανοστασίου ισογείου</t>
  </si>
  <si>
    <t>Ανακαίνιση αιμοδοσίας δεύτερου ορόφου</t>
  </si>
  <si>
    <t>υπό αναθεώρηση</t>
  </si>
  <si>
    <t>Επέκταση ΤΑΕΠ νέας πτέρυγας</t>
  </si>
  <si>
    <t>ΑΝΑΚΑΙΝΙΣΗ ΤΑΕΠ</t>
  </si>
  <si>
    <t>Ανακαίνιση ακτινολογικού τμήματος ισογείου</t>
  </si>
  <si>
    <t>Αντικατάσταση λεβήτων δεύτερου ορόφου</t>
  </si>
  <si>
    <t>Αντικατάσταση ανελκυστήρων νέας πτέρυγας</t>
  </si>
  <si>
    <t>Αναβάθμιση πυρασφάλειας Β΄ πτέρυγας</t>
  </si>
  <si>
    <t>Αναβάθμιση βιολογικού καθαρισμού ισογείου</t>
  </si>
  <si>
    <t>Αναβάθμιση δικτύου ύδρευσης δεύτερου ορόφου</t>
  </si>
  <si>
    <t>Νέα μονάδα εντατικής θεραπείας νέας πτέρυγας</t>
  </si>
  <si>
    <t>ΝΟΣΟΚΟΜΕΙΟ ΤΡΟΟΔΟΥΣ</t>
  </si>
  <si>
    <t>Ανακαίνιση χειρουργείων πρώτου ορόφου</t>
  </si>
  <si>
    <t>δεν έχει οριστεί</t>
  </si>
  <si>
    <t>Ανακαίνιση μαγειρείων παλαιάς πτέρυγας</t>
  </si>
  <si>
    <t>Αντικατάσταση κουφωμάτων Α΄ πτέρυγας</t>
  </si>
  <si>
    <t>5α</t>
  </si>
  <si>
    <t>Διαμόρφωση χώρου αποστείρωσης Γ΄ πτέρυγας</t>
  </si>
  <si>
    <t>Αναβάθμιση συστήματος κλιματισμού πρώτου ορόφου</t>
  </si>
  <si>
    <t>Στεγάνωση δώματος παλαιάς πτέρυγας</t>
  </si>
  <si>
    <t>Δημιουργία μονάδας τεχνητού νεφρού Α΄ πτέρυγας</t>
  </si>
  <si>
    <t>Ανακαίνιση μικροβιολογικού εργαστηρίου Γ΄ πτέρυγας</t>
  </si>
  <si>
    <t>Ανακαίνιση θαλάμων νοσηλείας πρώτου ορόφου</t>
  </si>
  <si>
    <t>Διαμόρφωση χώρων εξωτερικών ιατρείων παλαιάς πτέρυγας</t>
  </si>
  <si>
    <t>Ανακαίνιση φαρμακείου Α΄ πτέρυγας</t>
  </si>
  <si>
    <t>ΔΥΨΥ</t>
  </si>
  <si>
    <t>Διαμόρφωση χώρων εξωτερικών ιατρείων πρώτου ορόφου</t>
  </si>
  <si>
    <t>Ανακαίνιση φαρμακείου παλαιάς πτέρυγας</t>
  </si>
  <si>
    <t>Επέκταση αποθηκευτικών χώρων Α΄ πτέρυγας</t>
  </si>
  <si>
    <t>6α</t>
  </si>
  <si>
    <t>Αναβάθμιση ηλεκτρολογικής εγκατάστασης Γ΄ πτέρυγας</t>
  </si>
  <si>
    <t>Επέκταση χώρου στάθμευσης πρώτου ορόφου</t>
  </si>
  <si>
    <t>ΝΑΜΙΙΙ</t>
  </si>
  <si>
    <t>Αναβάθμιση πυρασφάλειας ισογείου</t>
  </si>
  <si>
    <t>Αναβάθμιση βιολογικού καθαρισμού δεύτερου ορόφου</t>
  </si>
  <si>
    <t>Αναβάθμιση δικτύου ύδρευσης νέας πτέρυγας</t>
  </si>
  <si>
    <t>Νέα μονάδα εντατικής θεραπείας Β΄ πτέρυγας</t>
  </si>
  <si>
    <t>Ανακαίνιση αποδυτηρίων προσωπικού ισογείου</t>
  </si>
  <si>
    <t>Εγκατάσταση φωτοβολταϊκών δεύτερου ορόφου</t>
  </si>
  <si>
    <t>αναμένεται έγκριση</t>
  </si>
  <si>
    <t>ΝΟΣΟΚΟΜΕΙΟ ΠΟΛΕΩΣ ΧΡΥΣΟΧΟΥΣ</t>
  </si>
  <si>
    <t>Αναβάθμιση συστήματος κλήσης νοσηλευτή παλαιάς πτέρυγας</t>
  </si>
  <si>
    <t>ΟΧΙ</t>
  </si>
  <si>
    <t>7α</t>
  </si>
  <si>
    <t>Διαμόρφωση χώρου αποστείρωσης παλαιάς πτέρυγας</t>
  </si>
  <si>
    <t>Γ.Ν. ΑΜΜΟΧΩΣΤΟΥ</t>
  </si>
  <si>
    <t>Αντικατάσταση ανελκυστήρων ισογείου</t>
  </si>
  <si>
    <t>Αναβάθμιση πυρασφάλειας δεύτερου ορόφου</t>
  </si>
  <si>
    <t>Αναβάθμιση βιολογικού καθαρισμού νέας πτέρυγας</t>
  </si>
  <si>
    <t>Αναβάθμιση δικτύου ύδρευσης Β΄ πτέρυγας</t>
  </si>
  <si>
    <t>Νέα μονάδα εντατικής θεραπείας ισογείου</t>
  </si>
  <si>
    <t>ΠΦΥ</t>
  </si>
  <si>
    <t>ΠΡΩΤΟΒΑΘΜΙΑ ΦΡΟΝΤΙΔΑ ΥΓΕΙΑΣ</t>
  </si>
  <si>
    <t>ΥΠΗΡΕΣΙΑ ΑΣΘΕΝΟΦΟΡΩΝ</t>
  </si>
  <si>
    <t>Ανακαίνιση αποδυτηρίων προσωπικού δεύτερου ορόφου</t>
  </si>
  <si>
    <t>Εγκατάσταση φωτοβολταϊκών νέας πτέρυγας</t>
  </si>
  <si>
    <t>Ανακαίνιση παθολογικής κλινικής Β΄ πτέρυγας</t>
  </si>
  <si>
    <t>Εγκατάσταση εφεδρικής γεννήτριας ισογείου</t>
  </si>
  <si>
    <t>ΣΥΝΟΛΑ ΑΝΑΠΤΥΞΙΑΚΟΥ</t>
  </si>
  <si>
    <t>ΑΠΟΖΗΜΙΩΣΗ ΑΠΌ ΣΑΑ</t>
  </si>
  <si>
    <t>ΔΑΠΑΝΗ (ΝΕΤ)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</si>
</sst>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8"/>
  <sheetFormatPr defaultRowHeight="15" outlineLevelRow="0" outlineLevelCol="0" x14ac:dyDescent="55"/>
  <cols>
    <col min="1" max="5" width="18" customWidth="1"/>
    <col min="7" max="37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3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26</v>
      </c>
    </row>
    <row r="6" spans="1:37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G6" t="s">
        <v>41</v>
      </c>
      <c r="I6" t="s">
        <v>42</v>
      </c>
      <c r="K6" t="s">
        <v>42</v>
      </c>
      <c r="L6" t="s">
        <v>42</v>
      </c>
      <c r="M6" t="s">
        <v>43</v>
      </c>
      <c r="N6">
        <v>4612270</v>
      </c>
      <c r="O6">
        <v>5851162</v>
      </c>
      <c r="P6">
        <v>4650905</v>
      </c>
      <c r="Q6" s="1">
        <v>45292</v>
      </c>
      <c r="R6" s="1">
        <v>46183</v>
      </c>
      <c r="S6">
        <f>IF(AA6="ΟΛΟΚΛΗΡΩΘΗΚΕ",100%,IFERROR(S6/O6,0%))</f>
        <v>0.3887303653805012</v>
      </c>
      <c r="T6">
        <v>1807948</v>
      </c>
      <c r="V6">
        <v>1976782</v>
      </c>
      <c r="W6">
        <v>866175</v>
      </c>
      <c r="Z6">
        <f>SUM(S6:X6)</f>
        <v>4650905</v>
      </c>
      <c r="AA6" t="b">
        <f>ROUND(Y6,-1)=ROUND(O6,-1)</f>
        <v>1</v>
      </c>
      <c r="AB6" t="s">
        <v>44</v>
      </c>
      <c r="AC6" s="1">
        <v>45720</v>
      </c>
      <c r="AD6" s="1">
        <v>46611</v>
      </c>
      <c r="AE6" t="s">
        <v>45</v>
      </c>
      <c r="AF6" t="s">
        <v>42</v>
      </c>
      <c r="AG6">
        <v>889248</v>
      </c>
      <c r="AH6">
        <v>580793</v>
      </c>
      <c r="AI6">
        <v>364028</v>
      </c>
      <c r="AK6">
        <f>SUM(AF6:AI6)</f>
        <v>1834069</v>
      </c>
    </row>
    <row r="7" spans="1:37" x14ac:dyDescent="0.25">
      <c r="A7" t="s">
        <v>37</v>
      </c>
      <c r="B7">
        <v>2</v>
      </c>
      <c r="C7" t="s">
        <v>38</v>
      </c>
      <c r="D7" t="s">
        <v>39</v>
      </c>
      <c r="E7" t="s">
        <v>46</v>
      </c>
      <c r="J7" t="s">
        <v>47</v>
      </c>
      <c r="K7" t="s">
        <v>42</v>
      </c>
      <c r="L7" t="s">
        <v>42</v>
      </c>
      <c r="P7">
        <v>1680236</v>
      </c>
      <c r="Q7" s="1">
        <v>45690</v>
      </c>
      <c r="R7" s="1">
        <v>46579</v>
      </c>
      <c r="S7">
        <f>IF(AA7="ΟΛΟΚΛΗΡΩΘΗΚΕ",100%,IFERROR(S7/O7,0%))</f>
        <v>1</v>
      </c>
      <c r="T7">
        <v>1680236</v>
      </c>
      <c r="Z7">
        <f>SUM(S7:X7)</f>
        <v>1680236</v>
      </c>
      <c r="AA7" t="b">
        <f>ROUND(Y7,-1)=ROUND(O7,-1)</f>
        <v>1</v>
      </c>
      <c r="AB7" t="s">
        <v>48</v>
      </c>
      <c r="AE7" t="s">
        <v>49</v>
      </c>
      <c r="AF7" t="s">
        <v>42</v>
      </c>
      <c r="AG7">
        <v>285748</v>
      </c>
      <c r="AH7">
        <v>1118835</v>
      </c>
      <c r="AI7">
        <v>492525</v>
      </c>
      <c r="AK7">
        <f>SUM(AF7:AI7)</f>
        <v>1897108</v>
      </c>
    </row>
    <row r="8" spans="2:37" x14ac:dyDescent="0.25">
      <c r="B8">
        <v>3</v>
      </c>
      <c r="C8" t="s">
        <v>38</v>
      </c>
      <c r="D8" t="s">
        <v>39</v>
      </c>
      <c r="E8" t="s">
        <v>50</v>
      </c>
      <c r="G8" t="s">
        <v>51</v>
      </c>
      <c r="K8" t="s">
        <v>42</v>
      </c>
      <c r="L8" t="s">
        <v>42</v>
      </c>
      <c r="P8">
        <v>3246167</v>
      </c>
      <c r="Q8" s="1">
        <v>46084</v>
      </c>
      <c r="R8" s="1">
        <v>46977</v>
      </c>
      <c r="S8">
        <f>IF(AA8="ΟΛΟΚΛΗΡΩΘΗΚΕ",100%,IFERROR(S8/O8,0%))</f>
        <v>0.11527472246498717</v>
      </c>
      <c r="T8">
        <v>374201</v>
      </c>
      <c r="V8">
        <v>954714</v>
      </c>
      <c r="W8">
        <v>868543</v>
      </c>
      <c r="X8">
        <v>1048709</v>
      </c>
      <c r="Z8">
        <f>SUM(S8:X8)</f>
        <v>3246167</v>
      </c>
      <c r="AA8" t="b">
        <f>ROUND(Y8,-1)=ROUND(O8,-1)</f>
        <v>1</v>
      </c>
      <c r="AB8" t="s">
        <v>52</v>
      </c>
      <c r="AF8" t="s">
        <v>42</v>
      </c>
      <c r="AG8">
        <v>1008370</v>
      </c>
      <c r="AH8">
        <v>1186950</v>
      </c>
      <c r="AI8">
        <v>726519</v>
      </c>
      <c r="AJ8">
        <v>284977</v>
      </c>
      <c r="AK8">
        <f>SUM(AF8:AI8)</f>
        <v>3206816</v>
      </c>
    </row>
    <row r="9" spans="1:37" x14ac:dyDescent="0.25">
      <c r="A9" t="s">
        <v>37</v>
      </c>
      <c r="B9">
        <v>4</v>
      </c>
      <c r="C9" t="s">
        <v>38</v>
      </c>
      <c r="D9" t="s">
        <v>39</v>
      </c>
      <c r="E9" t="s">
        <v>53</v>
      </c>
      <c r="G9" t="s">
        <v>41</v>
      </c>
      <c r="I9" t="s">
        <v>42</v>
      </c>
      <c r="K9" t="s">
        <v>42</v>
      </c>
      <c r="P9">
        <v>1784180</v>
      </c>
      <c r="Q9" s="1">
        <v>45386</v>
      </c>
      <c r="R9" s="1">
        <v>46278</v>
      </c>
      <c r="S9">
        <f>IF(AA9="ΟΛΟΚΛΗΡΩΘΗΚΕ",100%,IFERROR(S9/O9,0%))</f>
        <v>0</v>
      </c>
      <c r="V9">
        <v>556844</v>
      </c>
      <c r="W9">
        <v>446627</v>
      </c>
      <c r="X9">
        <v>1223693</v>
      </c>
      <c r="Y9">
        <v>72581</v>
      </c>
      <c r="Z9">
        <f>SUM(S9:X9)</f>
        <v>2299745</v>
      </c>
      <c r="AA9" t="b">
        <f>ROUND(Y9,-1)=ROUND(O9,-1)</f>
        <v>0</v>
      </c>
      <c r="AB9" t="s">
        <v>52</v>
      </c>
      <c r="AC9" s="1">
        <v>45815</v>
      </c>
      <c r="AD9" s="1">
        <v>46706</v>
      </c>
      <c r="AE9" t="s">
        <v>54</v>
      </c>
      <c r="AF9" t="s">
        <v>42</v>
      </c>
      <c r="AG9">
        <v>795910</v>
      </c>
      <c r="AH9">
        <v>277190</v>
      </c>
      <c r="AI9">
        <v>182984</v>
      </c>
      <c r="AK9">
        <f>SUM(AF9:AI9)</f>
        <v>1256084</v>
      </c>
    </row>
    <row r="10" spans="1:37" x14ac:dyDescent="0.25">
      <c r="A10" t="s">
        <v>37</v>
      </c>
      <c r="B10">
        <v>5</v>
      </c>
      <c r="C10" t="s">
        <v>38</v>
      </c>
      <c r="D10" t="s">
        <v>39</v>
      </c>
      <c r="E10" t="s">
        <v>55</v>
      </c>
      <c r="G10" t="s">
        <v>56</v>
      </c>
      <c r="K10" t="s">
        <v>42</v>
      </c>
      <c r="Q10" s="1">
        <v>45782</v>
      </c>
      <c r="R10" s="1">
        <v>46674</v>
      </c>
      <c r="S10">
        <f>IF(AA10="ΟΛΟΚΛΗΡΩΘΗΚΕ",100%,IFERROR(S10/O10,0%))</f>
        <v>0</v>
      </c>
      <c r="Z10">
        <f>SUM(S10:X10)</f>
        <v>0</v>
      </c>
      <c r="AA10" t="b">
        <f>ROUND(Y10,-1)=ROUND(O10,-1)</f>
        <v>0</v>
      </c>
      <c r="AB10" t="s">
        <v>52</v>
      </c>
      <c r="AE10" t="s">
        <v>57</v>
      </c>
      <c r="AF10" t="s">
        <v>42</v>
      </c>
      <c r="AK10">
        <f>SUM(AF10:AI10)</f>
        <v>0</v>
      </c>
    </row>
    <row r="11" spans="1:37" x14ac:dyDescent="0.25">
      <c r="A11" t="s">
        <v>37</v>
      </c>
      <c r="B11" t="s">
        <v>58</v>
      </c>
      <c r="C11" t="s">
        <v>38</v>
      </c>
      <c r="D11" t="s">
        <v>39</v>
      </c>
      <c r="E11" t="s">
        <v>59</v>
      </c>
      <c r="G11" t="s">
        <v>51</v>
      </c>
      <c r="J11" t="s">
        <v>60</v>
      </c>
      <c r="K11" t="s">
        <v>42</v>
      </c>
      <c r="P11">
        <v>3354297</v>
      </c>
      <c r="Q11" s="1">
        <v>46179</v>
      </c>
      <c r="R11" s="1">
        <v>47072</v>
      </c>
      <c r="S11">
        <f>IF(AA11="ΟΛΟΚΛΗΡΩΘΗΚΕ",100%,IFERROR(S11/O11,0%))</f>
        <v>0</v>
      </c>
      <c r="V11">
        <v>1114333</v>
      </c>
      <c r="W11">
        <v>1343884</v>
      </c>
      <c r="X11">
        <v>896080</v>
      </c>
      <c r="Z11">
        <f>SUM(S11:X11)</f>
        <v>3354297</v>
      </c>
      <c r="AA11" t="b">
        <f>ROUND(Y11,-1)=ROUND(O11,-1)</f>
        <v>1</v>
      </c>
      <c r="AB11" t="s">
        <v>52</v>
      </c>
      <c r="AF11" t="s">
        <v>42</v>
      </c>
      <c r="AG11">
        <v>1383036</v>
      </c>
      <c r="AH11">
        <v>661871</v>
      </c>
      <c r="AI11">
        <v>153456</v>
      </c>
      <c r="AK11">
        <f>SUM(AF11:AI11)</f>
        <v>2198363</v>
      </c>
    </row>
    <row r="12" spans="1:37" x14ac:dyDescent="0.25">
      <c r="A12" t="s">
        <v>37</v>
      </c>
      <c r="B12">
        <v>7</v>
      </c>
      <c r="C12" t="s">
        <v>38</v>
      </c>
      <c r="D12" t="s">
        <v>39</v>
      </c>
      <c r="E12" t="s">
        <v>61</v>
      </c>
      <c r="I12" t="s">
        <v>42</v>
      </c>
      <c r="K12" t="s">
        <v>42</v>
      </c>
      <c r="L12" t="s">
        <v>42</v>
      </c>
      <c r="M12" t="s">
        <v>43</v>
      </c>
      <c r="N12">
        <v>3989919</v>
      </c>
      <c r="O12">
        <v>5468490</v>
      </c>
      <c r="P12">
        <v>4023341</v>
      </c>
      <c r="Q12" s="1">
        <v>45480</v>
      </c>
      <c r="R12" s="1">
        <v>46372</v>
      </c>
      <c r="S12">
        <f>IF(AA12="ΟΛΟΚΛΗΡΩΘΗΚΕ",100%,IFERROR(S12/O12,0%))</f>
        <v>0.545549830352436</v>
      </c>
      <c r="T12">
        <v>2194933</v>
      </c>
      <c r="V12">
        <v>1225104</v>
      </c>
      <c r="W12">
        <v>603304</v>
      </c>
      <c r="Z12">
        <f>SUM(S12:X12)</f>
        <v>4023341</v>
      </c>
      <c r="AA12" t="b">
        <f>ROUND(Y12,-1)=ROUND(O12,-1)</f>
        <v>1</v>
      </c>
      <c r="AB12" t="s">
        <v>44</v>
      </c>
      <c r="AC12" s="1">
        <v>45910</v>
      </c>
      <c r="AD12" s="1">
        <v>46436</v>
      </c>
      <c r="AE12" t="s">
        <v>62</v>
      </c>
      <c r="AF12" t="s">
        <v>42</v>
      </c>
      <c r="AG12">
        <v>1384394</v>
      </c>
      <c r="AH12">
        <v>829088</v>
      </c>
      <c r="AI12">
        <v>635123</v>
      </c>
      <c r="AK12">
        <f>SUM(AF12:AI12)</f>
        <v>2848605</v>
      </c>
    </row>
    <row r="13" spans="1:37" x14ac:dyDescent="0.25">
      <c r="A13" t="s">
        <v>37</v>
      </c>
      <c r="B13">
        <v>8</v>
      </c>
      <c r="C13" t="s">
        <v>38</v>
      </c>
      <c r="D13" t="s">
        <v>39</v>
      </c>
      <c r="E13" t="s">
        <v>63</v>
      </c>
      <c r="G13" t="s">
        <v>56</v>
      </c>
      <c r="K13" t="s">
        <v>42</v>
      </c>
      <c r="L13" t="s">
        <v>42</v>
      </c>
      <c r="P13">
        <v>2454142</v>
      </c>
      <c r="Q13" s="1">
        <v>45877</v>
      </c>
      <c r="R13" s="1">
        <v>46404</v>
      </c>
      <c r="S13">
        <f>IF(AA13="ΟΛΟΚΛΗΡΩΘΗΚΕ",100%,IFERROR(S13/O13,0%))</f>
        <v>1</v>
      </c>
      <c r="T13">
        <v>2454142</v>
      </c>
      <c r="Z13">
        <f>SUM(S13:X13)</f>
        <v>2454142</v>
      </c>
      <c r="AA13" t="b">
        <f>ROUND(Y13,-1)=ROUND(O13,-1)</f>
        <v>1</v>
      </c>
      <c r="AB13" t="s">
        <v>48</v>
      </c>
      <c r="AE13" t="s">
        <v>64</v>
      </c>
      <c r="AF13" t="s">
        <v>42</v>
      </c>
      <c r="AG13">
        <v>771692</v>
      </c>
      <c r="AH13">
        <v>1112421</v>
      </c>
      <c r="AI13">
        <v>308051</v>
      </c>
      <c r="AJ13">
        <v>251295</v>
      </c>
      <c r="AK13">
        <f>SUM(AF13:AI13)</f>
        <v>2443459</v>
      </c>
    </row>
    <row r="14" spans="1:37" x14ac:dyDescent="0.25">
      <c r="A14" t="s">
        <v>37</v>
      </c>
      <c r="B14">
        <v>9</v>
      </c>
      <c r="C14" t="s">
        <v>38</v>
      </c>
      <c r="D14" t="s">
        <v>39</v>
      </c>
      <c r="E14" t="s">
        <v>65</v>
      </c>
      <c r="G14" t="s">
        <v>51</v>
      </c>
      <c r="K14" t="s">
        <v>42</v>
      </c>
      <c r="P14">
        <v>2833648</v>
      </c>
      <c r="Q14" s="1">
        <v>46274</v>
      </c>
      <c r="R14" s="1">
        <v>46801</v>
      </c>
      <c r="S14">
        <f>IF(AA14="ΟΛΟΚΛΗΡΩΘΗΚΕ",100%,IFERROR(S14/O14,0%))</f>
        <v>0.1438682574547015</v>
      </c>
      <c r="T14">
        <v>407672</v>
      </c>
      <c r="V14">
        <v>537881</v>
      </c>
      <c r="W14">
        <v>772726</v>
      </c>
      <c r="X14">
        <v>1115369</v>
      </c>
      <c r="Z14">
        <f>SUM(S14:X14)</f>
        <v>2833648</v>
      </c>
      <c r="AA14" t="b">
        <f>ROUND(Y14,-1)=ROUND(O14,-1)</f>
        <v>1</v>
      </c>
      <c r="AB14" t="s">
        <v>52</v>
      </c>
      <c r="AF14" t="s">
        <v>42</v>
      </c>
      <c r="AG14">
        <v>705245</v>
      </c>
      <c r="AH14">
        <v>703990</v>
      </c>
      <c r="AI14">
        <v>580486</v>
      </c>
      <c r="AK14">
        <f>SUM(AF14:AI14)</f>
        <v>1989721</v>
      </c>
    </row>
    <row r="15" spans="1:37" x14ac:dyDescent="0.25">
      <c r="A15" t="s">
        <v>37</v>
      </c>
      <c r="C15" t="s">
        <v>38</v>
      </c>
      <c r="D15" t="s">
        <v>39</v>
      </c>
      <c r="E15" t="s">
        <v>66</v>
      </c>
      <c r="G15" t="s">
        <v>41</v>
      </c>
      <c r="I15" t="s">
        <v>42</v>
      </c>
      <c r="J15" t="s">
        <v>67</v>
      </c>
      <c r="K15" t="s">
        <v>42</v>
      </c>
      <c r="P15">
        <v>1588021</v>
      </c>
      <c r="Q15" s="1">
        <v>45575</v>
      </c>
      <c r="R15" s="1">
        <v>46100</v>
      </c>
      <c r="S15">
        <f>IF(AA15="ΟΛΟΚΛΗΡΩΘΗΚΕ",100%,IFERROR(S15/O15,0%))</f>
        <v>0</v>
      </c>
      <c r="V15">
        <v>800342</v>
      </c>
      <c r="W15">
        <v>372073</v>
      </c>
      <c r="X15">
        <v>268917</v>
      </c>
      <c r="Y15">
        <v>146689</v>
      </c>
      <c r="Z15">
        <f>SUM(S15:X15)</f>
        <v>1588021</v>
      </c>
      <c r="AA15" t="b">
        <f>ROUND(Y15,-1)=ROUND(O15,-1)</f>
        <v>1</v>
      </c>
      <c r="AB15" t="s">
        <v>52</v>
      </c>
      <c r="AC15" s="1">
        <v>46004</v>
      </c>
      <c r="AD15" s="1">
        <v>46528</v>
      </c>
      <c r="AE15" t="s">
        <v>49</v>
      </c>
      <c r="AF15" t="s">
        <v>42</v>
      </c>
      <c r="AK15">
        <f>SUM(AF15:AI15)</f>
        <v>0</v>
      </c>
    </row>
    <row r="16" spans="1:37" x14ac:dyDescent="0.25">
      <c r="A16" t="s">
        <v>37</v>
      </c>
      <c r="B16">
        <v>11</v>
      </c>
      <c r="C16" t="s">
        <v>38</v>
      </c>
      <c r="D16" t="s">
        <v>39</v>
      </c>
      <c r="E16" t="s">
        <v>68</v>
      </c>
      <c r="G16" t="s">
        <v>56</v>
      </c>
      <c r="K16" t="s">
        <v>42</v>
      </c>
      <c r="L16" t="s">
        <v>42</v>
      </c>
      <c r="M16" t="s">
        <v>43</v>
      </c>
      <c r="N16">
        <v>3963588</v>
      </c>
      <c r="O16">
        <v>4791148</v>
      </c>
      <c r="P16">
        <v>3996790</v>
      </c>
      <c r="Q16" s="1">
        <v>45972</v>
      </c>
      <c r="R16" s="1">
        <v>46497</v>
      </c>
      <c r="S16">
        <f>IF(AA16="ΟΛΟΚΛΗΡΩΘΗΚΕ",100%,IFERROR(S16/O16,0%))</f>
        <v>0.4661918689748523</v>
      </c>
      <c r="T16">
        <v>1863271</v>
      </c>
      <c r="V16">
        <v>1196587</v>
      </c>
      <c r="W16">
        <v>936932</v>
      </c>
      <c r="Z16">
        <f>SUM(S16:X16)</f>
        <v>3996790</v>
      </c>
      <c r="AA16" t="b">
        <f>ROUND(Y16,-1)=ROUND(O16,-1)</f>
        <v>1</v>
      </c>
      <c r="AB16" t="s">
        <v>44</v>
      </c>
      <c r="AE16" t="s">
        <v>69</v>
      </c>
      <c r="AF16" t="s">
        <v>42</v>
      </c>
      <c r="AG16">
        <v>854008</v>
      </c>
      <c r="AH16">
        <v>1148673</v>
      </c>
      <c r="AI16">
        <v>455146</v>
      </c>
      <c r="AK16">
        <f>SUM(AF16:AI16)</f>
        <v>2457827</v>
      </c>
    </row>
    <row r="17" spans="1:37" x14ac:dyDescent="0.25">
      <c r="A17" t="s">
        <v>37</v>
      </c>
      <c r="B17">
        <v>12</v>
      </c>
      <c r="C17" t="s">
        <v>38</v>
      </c>
      <c r="D17" t="s">
        <v>39</v>
      </c>
      <c r="E17" t="s">
        <v>70</v>
      </c>
      <c r="G17" t="s">
        <v>51</v>
      </c>
      <c r="K17" t="s">
        <v>42</v>
      </c>
      <c r="Q17" s="1">
        <v>46368</v>
      </c>
      <c r="R17" s="1">
        <v>46894</v>
      </c>
      <c r="S17">
        <f>IF(AA17="ΟΛΟΚΛΗΡΩΘΗΚΕ",100%,IFERROR(S17/O17,0%))</f>
        <v>0</v>
      </c>
      <c r="Z17">
        <f>SUM(S17:X17)</f>
        <v>0</v>
      </c>
      <c r="AA17" t="b">
        <f>ROUND(Y17,-1)=ROUND(O17,-1)</f>
        <v>0</v>
      </c>
      <c r="AB17" t="s">
        <v>52</v>
      </c>
      <c r="AF17" t="s">
        <v>42</v>
      </c>
      <c r="AG17">
        <v>258932</v>
      </c>
      <c r="AH17">
        <v>644146</v>
      </c>
      <c r="AI17">
        <v>272392</v>
      </c>
      <c r="AK17">
        <f>SUM(AF17:AI17)</f>
        <v>1175470</v>
      </c>
    </row>
    <row r="18" spans="1:37" x14ac:dyDescent="0.25">
      <c r="A18" t="s">
        <v>37</v>
      </c>
      <c r="B18">
        <v>13</v>
      </c>
      <c r="C18" t="s">
        <v>38</v>
      </c>
      <c r="D18" t="s">
        <v>39</v>
      </c>
      <c r="E18" t="s">
        <v>71</v>
      </c>
      <c r="I18" t="s">
        <v>72</v>
      </c>
      <c r="K18" t="s">
        <v>42</v>
      </c>
      <c r="L18" t="s">
        <v>42</v>
      </c>
      <c r="P18">
        <v>2303890</v>
      </c>
      <c r="Q18" s="1">
        <v>45304</v>
      </c>
      <c r="R18" s="1">
        <v>46195</v>
      </c>
      <c r="S18">
        <f>IF(AA18="ΟΛΟΚΛΗΡΩΘΗΚΕ",100%,IFERROR(S18/O18,0%))</f>
        <v>1</v>
      </c>
      <c r="T18">
        <v>2303890</v>
      </c>
      <c r="Z18">
        <f>SUM(S18:X18)</f>
        <v>2303890</v>
      </c>
      <c r="AA18" t="b">
        <f>ROUND(Y18,-1)=ROUND(O18,-1)</f>
        <v>1</v>
      </c>
      <c r="AB18" t="s">
        <v>48</v>
      </c>
      <c r="AC18" s="1">
        <v>45732</v>
      </c>
      <c r="AD18" s="1">
        <v>46623</v>
      </c>
      <c r="AE18" t="s">
        <v>57</v>
      </c>
      <c r="AF18" t="s">
        <v>42</v>
      </c>
      <c r="AG18">
        <v>893196</v>
      </c>
      <c r="AH18">
        <v>383155</v>
      </c>
      <c r="AI18">
        <v>815837</v>
      </c>
      <c r="AJ18">
        <v>138913</v>
      </c>
      <c r="AK18">
        <f>SUM(AF18:AI18)</f>
        <v>2231101</v>
      </c>
    </row>
    <row r="19" spans="2:37" x14ac:dyDescent="0.25">
      <c r="B19">
        <v>14</v>
      </c>
      <c r="C19" t="s">
        <v>38</v>
      </c>
      <c r="D19" t="s">
        <v>39</v>
      </c>
      <c r="E19" t="s">
        <v>73</v>
      </c>
      <c r="G19" t="s">
        <v>56</v>
      </c>
      <c r="J19" t="s">
        <v>74</v>
      </c>
      <c r="K19" t="s">
        <v>42</v>
      </c>
      <c r="P19">
        <v>988165</v>
      </c>
      <c r="Q19" s="1">
        <v>45702</v>
      </c>
      <c r="R19" s="1">
        <v>46591</v>
      </c>
      <c r="S19">
        <f>IF(AA19="ΟΛΟΚΛΗΡΩΘΗΚΕ",100%,IFERROR(S19/O19,0%))</f>
        <v>0</v>
      </c>
      <c r="V19">
        <v>189174</v>
      </c>
      <c r="W19">
        <v>564584</v>
      </c>
      <c r="X19">
        <v>234407</v>
      </c>
      <c r="Z19">
        <f>SUM(S19:X19)</f>
        <v>988165</v>
      </c>
      <c r="AA19" t="b">
        <f>ROUND(Y19,-1)=ROUND(O19,-1)</f>
        <v>1</v>
      </c>
      <c r="AB19" t="s">
        <v>52</v>
      </c>
      <c r="AE19" t="s">
        <v>75</v>
      </c>
      <c r="AF19" t="s">
        <v>42</v>
      </c>
      <c r="AG19">
        <v>1462919</v>
      </c>
      <c r="AH19">
        <v>852708</v>
      </c>
      <c r="AI19">
        <v>313409</v>
      </c>
      <c r="AK19">
        <f>SUM(AF19:AI19)</f>
        <v>2629036</v>
      </c>
    </row>
    <row r="20" spans="1:37" x14ac:dyDescent="0.25">
      <c r="A20" t="s">
        <v>37</v>
      </c>
      <c r="B20">
        <v>15</v>
      </c>
      <c r="C20" t="s">
        <v>38</v>
      </c>
      <c r="D20" t="s">
        <v>39</v>
      </c>
      <c r="E20" t="s">
        <v>76</v>
      </c>
      <c r="G20" t="s">
        <v>51</v>
      </c>
      <c r="K20" t="s">
        <v>42</v>
      </c>
      <c r="P20">
        <v>1834397</v>
      </c>
      <c r="Q20" s="1">
        <v>46096</v>
      </c>
      <c r="R20" s="1">
        <v>46989</v>
      </c>
      <c r="S20">
        <f>IF(AA20="ΟΛΟΚΛΗΡΩΘΗΚΕ",100%,IFERROR(S20/O20,0%))</f>
        <v>0.06962560449019486</v>
      </c>
      <c r="T20">
        <v>127721</v>
      </c>
      <c r="V20">
        <v>169937</v>
      </c>
      <c r="W20">
        <v>1279853</v>
      </c>
      <c r="X20">
        <v>256886</v>
      </c>
      <c r="Z20">
        <f>SUM(S20:X20)</f>
        <v>1834397</v>
      </c>
      <c r="AA20" t="b">
        <f>ROUND(Y20,-1)=ROUND(O21,-1)</f>
        <v>0</v>
      </c>
      <c r="AB20" t="s">
        <v>52</v>
      </c>
      <c r="AF20" t="s">
        <v>42</v>
      </c>
      <c r="AK20">
        <f>SUM(AF20:AI20)</f>
        <v>0</v>
      </c>
    </row>
    <row r="21" spans="1:37" x14ac:dyDescent="0.25">
      <c r="A21" t="s">
        <v>37</v>
      </c>
      <c r="B21">
        <v>16</v>
      </c>
      <c r="C21" t="s">
        <v>38</v>
      </c>
      <c r="D21" t="s">
        <v>39</v>
      </c>
      <c r="E21" t="s">
        <v>77</v>
      </c>
      <c r="G21" t="s">
        <v>41</v>
      </c>
      <c r="I21" t="s">
        <v>42</v>
      </c>
      <c r="K21" t="s">
        <v>42</v>
      </c>
      <c r="L21" t="s">
        <v>42</v>
      </c>
      <c r="M21" t="s">
        <v>43</v>
      </c>
      <c r="N21">
        <v>5249399</v>
      </c>
      <c r="O21">
        <v>3559728</v>
      </c>
      <c r="P21">
        <v>5293371</v>
      </c>
      <c r="Q21" s="1">
        <v>45398</v>
      </c>
      <c r="R21" s="1">
        <v>46290</v>
      </c>
      <c r="S21">
        <f>IF(AA21="ΟΛΟΚΛΗΡΩΘΗΚΕ",100%,IFERROR(S21/O21,0%))</f>
        <v>0.38150093768224447</v>
      </c>
      <c r="T21">
        <v>2019426</v>
      </c>
      <c r="V21">
        <v>1766024</v>
      </c>
      <c r="W21">
        <v>1507921</v>
      </c>
      <c r="Z21">
        <f>SUM(S21:X21)</f>
        <v>5293371</v>
      </c>
      <c r="AA21" t="b">
        <f>ROUND(Y21,-1)=ROUND(O21,-1)</f>
        <v>1</v>
      </c>
      <c r="AB21" t="s">
        <v>44</v>
      </c>
      <c r="AC21" s="1">
        <v>45827</v>
      </c>
      <c r="AD21" s="1">
        <v>46718</v>
      </c>
      <c r="AE21" t="s">
        <v>64</v>
      </c>
      <c r="AF21" t="s">
        <v>42</v>
      </c>
      <c r="AG21">
        <v>392524</v>
      </c>
      <c r="AH21">
        <v>682734</v>
      </c>
      <c r="AI21">
        <v>125706</v>
      </c>
      <c r="AK21">
        <f>SUM(AF21:AI21)</f>
        <v>1200964</v>
      </c>
    </row>
    <row r="22" spans="1:37" x14ac:dyDescent="0.25">
      <c r="A22" t="s">
        <v>37</v>
      </c>
      <c r="B22">
        <v>17</v>
      </c>
      <c r="C22" t="s">
        <v>38</v>
      </c>
      <c r="D22" t="s">
        <v>39</v>
      </c>
      <c r="E22" t="s">
        <v>78</v>
      </c>
      <c r="G22" t="s">
        <v>56</v>
      </c>
      <c r="K22" t="s">
        <v>42</v>
      </c>
      <c r="L22" t="s">
        <v>42</v>
      </c>
      <c r="P22">
        <v>2249616</v>
      </c>
      <c r="Q22" s="1">
        <v>45794</v>
      </c>
      <c r="R22" s="1">
        <v>46686</v>
      </c>
      <c r="S22">
        <f>IF(AA22="ΟΛΟΚΛΗΡΩΘΗΚΕ",100%,IFERROR(S22/O22,0%))</f>
        <v>1</v>
      </c>
      <c r="T22">
        <v>2249616</v>
      </c>
      <c r="Z22">
        <f>SUM(S22:X22)</f>
        <v>2249616</v>
      </c>
      <c r="AA22" t="b">
        <f>ROUND(Y22,-1)=ROUND(O23,-1)</f>
        <v>0</v>
      </c>
      <c r="AB22" t="s">
        <v>48</v>
      </c>
      <c r="AE22" t="s">
        <v>45</v>
      </c>
      <c r="AF22" t="s">
        <v>42</v>
      </c>
      <c r="AG22">
        <v>257006</v>
      </c>
      <c r="AH22">
        <v>153290</v>
      </c>
      <c r="AI22">
        <v>464503</v>
      </c>
      <c r="AK22">
        <f>SUM(AF22:AI22)</f>
        <v>874799</v>
      </c>
    </row>
    <row r="23" spans="1:37" x14ac:dyDescent="0.25">
      <c r="A23" t="s">
        <v>37</v>
      </c>
      <c r="B23" t="s">
        <v>79</v>
      </c>
      <c r="C23" t="s">
        <v>38</v>
      </c>
      <c r="D23" t="s">
        <v>39</v>
      </c>
      <c r="E23" t="s">
        <v>80</v>
      </c>
      <c r="G23" t="s">
        <v>51</v>
      </c>
      <c r="J23" t="s">
        <v>81</v>
      </c>
      <c r="K23" t="s">
        <v>42</v>
      </c>
      <c r="P23">
        <v>2359995</v>
      </c>
      <c r="Q23" s="1">
        <v>46191</v>
      </c>
      <c r="R23" s="1">
        <v>47084</v>
      </c>
      <c r="S23">
        <f>IF(AA23="ΟΛΟΚΛΗΡΩΘΗΚΕ",100%,IFERROR(S23/O23,0%))</f>
        <v>0</v>
      </c>
      <c r="V23">
        <v>354462</v>
      </c>
      <c r="W23">
        <v>526715</v>
      </c>
      <c r="X23">
        <v>1297773</v>
      </c>
      <c r="Y23">
        <v>181045</v>
      </c>
      <c r="Z23">
        <f>SUM(S23:X23)</f>
        <v>2359995</v>
      </c>
      <c r="AA23" t="b">
        <f>ROUND(Y23,-1)=ROUND(O23,-1)</f>
        <v>1</v>
      </c>
      <c r="AB23" t="s">
        <v>52</v>
      </c>
      <c r="AF23" t="s">
        <v>42</v>
      </c>
      <c r="AG23">
        <v>344620</v>
      </c>
      <c r="AH23">
        <v>833740</v>
      </c>
      <c r="AI23">
        <v>742158</v>
      </c>
      <c r="AJ23">
        <v>38123</v>
      </c>
      <c r="AK23">
        <f>SUM(AF23:AI23)</f>
        <v>1958641</v>
      </c>
    </row>
    <row r="24" spans="1:37" x14ac:dyDescent="0.25">
      <c r="A24" t="s">
        <v>37</v>
      </c>
      <c r="B24">
        <v>19</v>
      </c>
      <c r="C24" t="s">
        <v>38</v>
      </c>
      <c r="D24" t="s">
        <v>39</v>
      </c>
      <c r="E24" t="s">
        <v>82</v>
      </c>
      <c r="I24" t="s">
        <v>42</v>
      </c>
      <c r="K24" t="s">
        <v>42</v>
      </c>
      <c r="P24">
        <v>1766567</v>
      </c>
      <c r="Q24" s="1">
        <v>45492</v>
      </c>
      <c r="R24" s="1">
        <v>46357</v>
      </c>
      <c r="S24">
        <f>IF(AA24="ΟΛΟΚΛΗΡΩΘΗΚΕ",100%,IFERROR(S24/O24,0%))</f>
        <v>0</v>
      </c>
      <c r="V24">
        <v>722417</v>
      </c>
      <c r="W24">
        <v>613326</v>
      </c>
      <c r="X24">
        <v>430824</v>
      </c>
      <c r="Z24">
        <f>SUM(S24:X24)</f>
        <v>1766567</v>
      </c>
      <c r="AA24" t="b">
        <f>ROUND(Y24,-1)=ROUND(O24,-1)</f>
        <v>1</v>
      </c>
      <c r="AB24" t="s">
        <v>52</v>
      </c>
      <c r="AC24" s="1">
        <v>45922</v>
      </c>
      <c r="AD24" s="1">
        <v>46421</v>
      </c>
      <c r="AE24" t="s">
        <v>69</v>
      </c>
      <c r="AF24" t="s">
        <v>42</v>
      </c>
      <c r="AG24">
        <v>798937</v>
      </c>
      <c r="AH24">
        <v>920798</v>
      </c>
      <c r="AI24">
        <v>344790</v>
      </c>
      <c r="AK24">
        <f>SUM(AF24:AI24)</f>
        <v>2064525</v>
      </c>
    </row>
    <row r="25" spans="1:37" x14ac:dyDescent="0.25">
      <c r="A25" t="s">
        <v>37</v>
      </c>
      <c r="B25">
        <v>20</v>
      </c>
      <c r="C25" t="s">
        <v>38</v>
      </c>
      <c r="D25" t="s">
        <v>39</v>
      </c>
      <c r="E25" t="s">
        <v>83</v>
      </c>
      <c r="G25" t="s">
        <v>56</v>
      </c>
      <c r="K25" t="s">
        <v>42</v>
      </c>
      <c r="Q25" s="1">
        <v>45889</v>
      </c>
      <c r="R25" s="1">
        <v>46389</v>
      </c>
      <c r="S25">
        <f>IF(AA25="ΟΛΟΚΛΗΡΩΘΗΚΕ",100%,IFERROR(S25/O25,0%))</f>
        <v>0</v>
      </c>
      <c r="Z25">
        <f>SUM(S25:X25)</f>
        <v>0</v>
      </c>
      <c r="AA25" t="b">
        <f>ROUND(Y25,-1)=ROUND(O25,-1)</f>
        <v>0</v>
      </c>
      <c r="AB25" t="s">
        <v>52</v>
      </c>
      <c r="AE25" t="s">
        <v>54</v>
      </c>
      <c r="AF25" t="s">
        <v>42</v>
      </c>
      <c r="AK25">
        <f>SUM(AF25:AI25)</f>
        <v>0</v>
      </c>
    </row>
    <row r="26" spans="1:37" x14ac:dyDescent="0.25">
      <c r="A26" t="s">
        <v>37</v>
      </c>
      <c r="B26">
        <v>21</v>
      </c>
      <c r="C26" t="s">
        <v>84</v>
      </c>
      <c r="D26" t="s">
        <v>85</v>
      </c>
      <c r="E26" t="s">
        <v>68</v>
      </c>
      <c r="G26" t="s">
        <v>51</v>
      </c>
      <c r="K26" t="s">
        <v>42</v>
      </c>
      <c r="L26" t="s">
        <v>42</v>
      </c>
      <c r="P26">
        <v>3355559</v>
      </c>
      <c r="Q26" s="1">
        <v>46286</v>
      </c>
      <c r="R26" s="1">
        <v>46786</v>
      </c>
      <c r="S26">
        <f>IF(AA26="ΟΛΟΚΛΗΡΩΘΗΚΕ",100%,IFERROR(S26/O26,0%))</f>
        <v>0.35002156123614575</v>
      </c>
      <c r="T26">
        <v>1174518</v>
      </c>
      <c r="V26">
        <v>1461963</v>
      </c>
      <c r="W26">
        <v>719078</v>
      </c>
      <c r="Z26">
        <f>SUM(S26:X26)</f>
        <v>3355559</v>
      </c>
      <c r="AA26" t="b">
        <f>ROUND(Y26,-1)=ROUND(O26,-1)</f>
        <v>1</v>
      </c>
      <c r="AB26" t="s">
        <v>44</v>
      </c>
      <c r="AF26" t="s">
        <v>42</v>
      </c>
      <c r="AG26">
        <v>1060329</v>
      </c>
      <c r="AH26">
        <v>223662</v>
      </c>
      <c r="AI26">
        <v>124447</v>
      </c>
      <c r="AK26">
        <f>SUM(AF26:AI26)</f>
        <v>1408438</v>
      </c>
    </row>
    <row r="27" spans="1:37" x14ac:dyDescent="0.25">
      <c r="A27" t="s">
        <v>37</v>
      </c>
      <c r="B27">
        <v>22</v>
      </c>
      <c r="C27" t="s">
        <v>84</v>
      </c>
      <c r="D27" t="s">
        <v>85</v>
      </c>
      <c r="E27" t="s">
        <v>70</v>
      </c>
      <c r="G27" t="s">
        <v>41</v>
      </c>
      <c r="I27" t="s">
        <v>42</v>
      </c>
      <c r="J27" t="s">
        <v>86</v>
      </c>
      <c r="K27" t="s">
        <v>42</v>
      </c>
      <c r="L27" t="s">
        <v>42</v>
      </c>
      <c r="P27">
        <v>3243649</v>
      </c>
      <c r="Q27" s="1">
        <v>45587</v>
      </c>
      <c r="R27" s="1">
        <v>46085</v>
      </c>
      <c r="S27">
        <f>IF(AA27="ΟΛΟΚΛΗΡΩΘΗΚΕ",100%,IFERROR(S27/O27,0%))</f>
        <v>1</v>
      </c>
      <c r="T27">
        <v>3243649</v>
      </c>
      <c r="Z27">
        <f>SUM(S27:X27)</f>
        <v>3243649</v>
      </c>
      <c r="AA27" t="b">
        <f>ROUND(Y27,-1)=ROUND(O27,-1)</f>
        <v>1</v>
      </c>
      <c r="AB27" t="s">
        <v>48</v>
      </c>
      <c r="AC27" s="1">
        <v>46016</v>
      </c>
      <c r="AD27" s="1">
        <v>46513</v>
      </c>
      <c r="AE27" t="s">
        <v>75</v>
      </c>
      <c r="AF27" t="s">
        <v>42</v>
      </c>
      <c r="AG27">
        <v>418215</v>
      </c>
      <c r="AH27">
        <v>618206</v>
      </c>
      <c r="AI27">
        <v>206749</v>
      </c>
      <c r="AK27">
        <f>SUM(AF27:AI27)</f>
        <v>1243170</v>
      </c>
    </row>
    <row r="28" spans="1:37" x14ac:dyDescent="0.25">
      <c r="A28" t="s">
        <v>37</v>
      </c>
      <c r="B28">
        <v>23</v>
      </c>
      <c r="C28" t="s">
        <v>84</v>
      </c>
      <c r="D28" t="s">
        <v>85</v>
      </c>
      <c r="E28" t="s">
        <v>71</v>
      </c>
      <c r="G28" t="s">
        <v>56</v>
      </c>
      <c r="K28" t="s">
        <v>42</v>
      </c>
      <c r="P28">
        <v>1674530</v>
      </c>
      <c r="Q28" s="1">
        <v>45984</v>
      </c>
      <c r="R28" s="1">
        <v>46482</v>
      </c>
      <c r="S28">
        <f>IF(AA28="ΟΛΟΚΛΗΡΩΘΗΚΕ",100%,IFERROR(S28/O28,0%))</f>
        <v>0.26567275593748696</v>
      </c>
      <c r="T28">
        <v>444877</v>
      </c>
      <c r="V28">
        <v>471462</v>
      </c>
      <c r="W28">
        <v>312288</v>
      </c>
      <c r="X28">
        <v>445903</v>
      </c>
      <c r="Z28">
        <f>SUM(S28:X28)</f>
        <v>1674530</v>
      </c>
      <c r="AA28" t="b">
        <f>ROUND(Y28,-1)=ROUND(O28,-1)</f>
        <v>1</v>
      </c>
      <c r="AB28" t="s">
        <v>52</v>
      </c>
      <c r="AE28" t="s">
        <v>62</v>
      </c>
      <c r="AF28" t="s">
        <v>42</v>
      </c>
      <c r="AG28">
        <v>777117</v>
      </c>
      <c r="AH28">
        <v>1091172</v>
      </c>
      <c r="AI28">
        <v>361679</v>
      </c>
      <c r="AJ28">
        <v>81921</v>
      </c>
      <c r="AK28">
        <f>SUM(AF28:AI28)</f>
        <v>2311889</v>
      </c>
    </row>
    <row r="29" spans="1:37" x14ac:dyDescent="0.25">
      <c r="A29" t="s">
        <v>37</v>
      </c>
      <c r="B29">
        <v>24</v>
      </c>
      <c r="C29" t="s">
        <v>84</v>
      </c>
      <c r="D29" t="s">
        <v>85</v>
      </c>
      <c r="E29" t="s">
        <v>73</v>
      </c>
      <c r="K29" t="s">
        <v>42</v>
      </c>
      <c r="P29">
        <v>2057570</v>
      </c>
      <c r="Q29" s="1">
        <v>46380</v>
      </c>
      <c r="R29" s="1">
        <v>46879</v>
      </c>
      <c r="S29">
        <f>IF(AA29="ΟΛΟΚΛΗΡΩΘΗΚΕ",100%,IFERROR(S29/O29,0%))</f>
        <v>0</v>
      </c>
      <c r="V29">
        <v>316205</v>
      </c>
      <c r="W29">
        <v>850319</v>
      </c>
      <c r="X29">
        <v>773324</v>
      </c>
      <c r="Y29">
        <v>117722</v>
      </c>
      <c r="Z29">
        <f>SUM(S29:X29)</f>
        <v>2057570</v>
      </c>
      <c r="AA29" t="b">
        <f>ROUND(Y29,-1)=ROUND(O29,-1)</f>
        <v>1</v>
      </c>
      <c r="AB29" t="s">
        <v>52</v>
      </c>
      <c r="AF29" t="s">
        <v>42</v>
      </c>
      <c r="AG29">
        <v>346265</v>
      </c>
      <c r="AH29">
        <v>434827</v>
      </c>
      <c r="AI29">
        <v>532698</v>
      </c>
      <c r="AK29">
        <f>SUM(AF29:AI29)</f>
        <v>1313790</v>
      </c>
    </row>
    <row r="30" spans="2:37" x14ac:dyDescent="0.25">
      <c r="B30">
        <v>25</v>
      </c>
      <c r="C30" t="s">
        <v>84</v>
      </c>
      <c r="D30" t="s">
        <v>85</v>
      </c>
      <c r="E30" t="s">
        <v>76</v>
      </c>
      <c r="G30" t="s">
        <v>41</v>
      </c>
      <c r="I30" t="s">
        <v>42</v>
      </c>
      <c r="K30" t="s">
        <v>42</v>
      </c>
      <c r="L30" t="s">
        <v>42</v>
      </c>
      <c r="M30" t="s">
        <v>43</v>
      </c>
      <c r="N30">
        <v>4573078</v>
      </c>
      <c r="O30">
        <v>5885114</v>
      </c>
      <c r="P30">
        <v>4611385</v>
      </c>
      <c r="Q30" s="1">
        <v>45316</v>
      </c>
      <c r="R30" s="1">
        <v>46180</v>
      </c>
      <c r="S30">
        <f>IF(AA30="ΟΛΟΚΛΗΡΩΘΗΚΕ",100%,IFERROR(S30/O30,0%))</f>
        <v>0.4596460716249023</v>
      </c>
      <c r="T30">
        <v>2119605</v>
      </c>
      <c r="V30">
        <v>2063362</v>
      </c>
      <c r="W30">
        <v>428418</v>
      </c>
      <c r="Z30">
        <f>SUM(S30:X30)</f>
        <v>4611385</v>
      </c>
      <c r="AA30" t="b">
        <f>ROUND(Y30,-1)=ROUND(O30,-1)</f>
        <v>1</v>
      </c>
      <c r="AB30" t="s">
        <v>44</v>
      </c>
      <c r="AC30" s="1">
        <v>45717</v>
      </c>
      <c r="AD30" s="1">
        <v>46608</v>
      </c>
      <c r="AE30" t="s">
        <v>45</v>
      </c>
      <c r="AF30" t="s">
        <v>42</v>
      </c>
      <c r="AK30">
        <f>SUM(AF30:AI30)</f>
        <v>0</v>
      </c>
    </row>
    <row r="31" spans="1:37" x14ac:dyDescent="0.25">
      <c r="A31" t="s">
        <v>37</v>
      </c>
      <c r="B31">
        <v>26</v>
      </c>
      <c r="C31" t="s">
        <v>84</v>
      </c>
      <c r="D31" t="s">
        <v>85</v>
      </c>
      <c r="E31" t="s">
        <v>77</v>
      </c>
      <c r="G31" t="s">
        <v>56</v>
      </c>
      <c r="J31" t="s">
        <v>87</v>
      </c>
      <c r="K31" t="s">
        <v>42</v>
      </c>
      <c r="L31" t="s">
        <v>42</v>
      </c>
      <c r="P31">
        <v>3485089</v>
      </c>
      <c r="Q31" s="1">
        <v>45714</v>
      </c>
      <c r="R31" s="1">
        <v>46576</v>
      </c>
      <c r="S31">
        <f>IFERROR(S31/O31,0%)</f>
        <v>0.7899999110496174</v>
      </c>
      <c r="T31">
        <v>2753220</v>
      </c>
      <c r="V31">
        <v>731869</v>
      </c>
      <c r="Z31">
        <f>SUM(S31:X31)</f>
        <v>3485089</v>
      </c>
      <c r="AA31" t="b">
        <f>ROUND(Y31,-1)=ROUND(O31,-1)</f>
        <v>1</v>
      </c>
      <c r="AB31" t="s">
        <v>48</v>
      </c>
      <c r="AE31" t="s">
        <v>49</v>
      </c>
      <c r="AF31" t="s">
        <v>42</v>
      </c>
      <c r="AG31">
        <v>443675</v>
      </c>
      <c r="AH31">
        <v>829383</v>
      </c>
      <c r="AI31">
        <v>119436</v>
      </c>
      <c r="AK31">
        <f>SUM(AF31:AI31)</f>
        <v>1392494</v>
      </c>
    </row>
    <row r="32" spans="1:37" x14ac:dyDescent="0.25">
      <c r="A32" t="s">
        <v>37</v>
      </c>
      <c r="B32">
        <v>27</v>
      </c>
      <c r="C32" t="s">
        <v>84</v>
      </c>
      <c r="D32" t="s">
        <v>85</v>
      </c>
      <c r="E32" t="s">
        <v>78</v>
      </c>
      <c r="G32" t="s">
        <v>51</v>
      </c>
      <c r="K32" t="s">
        <v>42</v>
      </c>
      <c r="Q32" s="1">
        <v>46108</v>
      </c>
      <c r="R32" s="1">
        <v>46974</v>
      </c>
      <c r="S32">
        <f>IF(AA32="ΟΛΟΚΛΗΡΩΘΗΚΕ",100%,IFERROR(S32/O32,0%))</f>
        <v>0</v>
      </c>
      <c r="Z32">
        <f>SUM(S32:X32)</f>
        <v>0</v>
      </c>
      <c r="AA32" t="b">
        <f>ROUND(Y32,-1)=ROUND(O32,-1)</f>
        <v>0</v>
      </c>
      <c r="AB32" t="s">
        <v>52</v>
      </c>
      <c r="AF32" t="s">
        <v>42</v>
      </c>
      <c r="AG32">
        <v>482768</v>
      </c>
      <c r="AH32">
        <v>653894</v>
      </c>
      <c r="AI32">
        <v>305543</v>
      </c>
      <c r="AK32">
        <f>SUM(AF32:AI32)</f>
        <v>1442205</v>
      </c>
    </row>
    <row r="33" spans="1:37" x14ac:dyDescent="0.25">
      <c r="A33" t="s">
        <v>37</v>
      </c>
      <c r="B33">
        <v>28</v>
      </c>
      <c r="C33" t="s">
        <v>84</v>
      </c>
      <c r="D33" t="s">
        <v>85</v>
      </c>
      <c r="E33" t="s">
        <v>80</v>
      </c>
      <c r="G33" t="s">
        <v>41</v>
      </c>
      <c r="I33" t="s">
        <v>42</v>
      </c>
      <c r="K33" t="s">
        <v>88</v>
      </c>
      <c r="P33">
        <v>3701716</v>
      </c>
      <c r="Q33" s="1">
        <v>45383</v>
      </c>
      <c r="R33" s="1">
        <v>46275</v>
      </c>
      <c r="S33">
        <f>IF(AA33="ΟΛΟΚΛΗΡΩΘΗΚΕ",100%,IFERROR(S33/O33,0%))</f>
        <v>0</v>
      </c>
      <c r="V33">
        <v>978284</v>
      </c>
      <c r="W33">
        <v>1476316</v>
      </c>
      <c r="X33">
        <v>1247116</v>
      </c>
      <c r="Z33">
        <f>SUM(S33:X33)</f>
        <v>3701716</v>
      </c>
      <c r="AA33" t="b">
        <f>ROUND(Y33,-1)=ROUND(O33,-1)</f>
        <v>1</v>
      </c>
      <c r="AB33" t="s">
        <v>52</v>
      </c>
      <c r="AC33" s="1">
        <v>45812</v>
      </c>
      <c r="AD33" s="1">
        <v>46703</v>
      </c>
      <c r="AE33" t="s">
        <v>54</v>
      </c>
      <c r="AF33" t="s">
        <v>42</v>
      </c>
      <c r="AG33">
        <v>1299803</v>
      </c>
      <c r="AH33">
        <v>886516</v>
      </c>
      <c r="AI33">
        <v>743631</v>
      </c>
      <c r="AJ33">
        <v>163826</v>
      </c>
      <c r="AK33">
        <f>SUM(AF33:AI33)</f>
        <v>3093776</v>
      </c>
    </row>
    <row r="34" spans="1:37" x14ac:dyDescent="0.25">
      <c r="A34" t="s">
        <v>37</v>
      </c>
      <c r="C34" t="s">
        <v>84</v>
      </c>
      <c r="D34" t="s">
        <v>85</v>
      </c>
      <c r="E34" t="s">
        <v>82</v>
      </c>
      <c r="G34" t="s">
        <v>56</v>
      </c>
      <c r="K34" t="s">
        <v>42</v>
      </c>
      <c r="M34" t="s">
        <v>43</v>
      </c>
      <c r="N34">
        <v>3814726</v>
      </c>
      <c r="O34">
        <v>3986154</v>
      </c>
      <c r="P34">
        <v>3846681</v>
      </c>
      <c r="Q34" s="1">
        <v>45779</v>
      </c>
      <c r="R34" s="1">
        <v>46671</v>
      </c>
      <c r="S34">
        <f>IF(AA34="ΟΛΟΚΛΗΡΩΘΗΚΕ",100%,IFERROR(S34/O34,0%))</f>
        <v>0.10886865846167125</v>
      </c>
      <c r="T34">
        <v>418783</v>
      </c>
      <c r="V34">
        <v>948256</v>
      </c>
      <c r="W34">
        <v>1226588</v>
      </c>
      <c r="X34">
        <v>1253054</v>
      </c>
      <c r="Z34">
        <f>SUM(S34:X34)</f>
        <v>3846681</v>
      </c>
      <c r="AA34" t="b">
        <f>ROUND(Y34,-1)=ROUND(O34,-1)</f>
        <v>1</v>
      </c>
      <c r="AB34" t="s">
        <v>52</v>
      </c>
      <c r="AE34" t="s">
        <v>57</v>
      </c>
      <c r="AF34" t="s">
        <v>42</v>
      </c>
      <c r="AG34">
        <v>330942</v>
      </c>
      <c r="AH34">
        <v>585911</v>
      </c>
      <c r="AI34">
        <v>730571</v>
      </c>
      <c r="AK34">
        <f>SUM(AF34:AI34)</f>
        <v>1647424</v>
      </c>
    </row>
    <row r="35" spans="1:37" x14ac:dyDescent="0.25">
      <c r="A35" t="s">
        <v>37</v>
      </c>
      <c r="B35">
        <v>30</v>
      </c>
      <c r="C35" t="s">
        <v>84</v>
      </c>
      <c r="D35" t="s">
        <v>85</v>
      </c>
      <c r="E35" t="s">
        <v>83</v>
      </c>
      <c r="J35" t="s">
        <v>89</v>
      </c>
      <c r="K35" t="s">
        <v>42</v>
      </c>
      <c r="L35" t="s">
        <v>42</v>
      </c>
      <c r="P35">
        <v>3152527</v>
      </c>
      <c r="Q35" s="1">
        <v>46176</v>
      </c>
      <c r="R35" s="1">
        <v>47069</v>
      </c>
      <c r="S35">
        <f>IF(AA35="ΟΛΟΚΛΗΡΩΘΗΚΕ",100%,IFERROR(S35/O35,0%))</f>
        <v>0.4096355082763764</v>
      </c>
      <c r="T35">
        <v>1291387</v>
      </c>
      <c r="V35">
        <v>685057</v>
      </c>
      <c r="W35">
        <v>1176083</v>
      </c>
      <c r="Z35">
        <f>SUM(S35:X35)</f>
        <v>3152527</v>
      </c>
      <c r="AA35" t="b">
        <f>ROUND(Y35,-1)=ROUND(O35,-1)</f>
        <v>1</v>
      </c>
      <c r="AB35" t="s">
        <v>44</v>
      </c>
      <c r="AF35" t="s">
        <v>42</v>
      </c>
      <c r="AK35">
        <f>SUM(AF35:AI35)</f>
        <v>0</v>
      </c>
    </row>
    <row r="36" spans="1:37" x14ac:dyDescent="0.25">
      <c r="A36" t="s">
        <v>37</v>
      </c>
      <c r="B36">
        <v>31</v>
      </c>
      <c r="C36" t="s">
        <v>84</v>
      </c>
      <c r="D36" t="s">
        <v>85</v>
      </c>
      <c r="E36" t="s">
        <v>90</v>
      </c>
      <c r="G36" t="s">
        <v>41</v>
      </c>
      <c r="I36" t="s">
        <v>42</v>
      </c>
      <c r="K36" t="s">
        <v>42</v>
      </c>
      <c r="L36" t="s">
        <v>42</v>
      </c>
      <c r="P36">
        <v>1366406</v>
      </c>
      <c r="Q36" t="s">
        <v>91</v>
      </c>
      <c r="R36" s="1">
        <v>46369</v>
      </c>
      <c r="S36">
        <f>IF(AA36="ΟΛΟΚΛΗΡΩΘΗΚΕ",100%,IFERROR(S36/O36,0%))</f>
        <v>1</v>
      </c>
      <c r="T36">
        <v>1366406</v>
      </c>
      <c r="Z36">
        <f>SUM(S36:X36)</f>
        <v>1366406</v>
      </c>
      <c r="AA36" t="b">
        <f>ROUND(Y36,-1)=ROUND(O36,-1)</f>
        <v>1</v>
      </c>
      <c r="AB36" t="s">
        <v>48</v>
      </c>
      <c r="AC36" s="1">
        <v>45907</v>
      </c>
      <c r="AD36" s="1">
        <v>46433</v>
      </c>
      <c r="AE36" t="s">
        <v>62</v>
      </c>
      <c r="AF36" t="s">
        <v>42</v>
      </c>
      <c r="AG36">
        <v>742716</v>
      </c>
      <c r="AH36">
        <v>198013</v>
      </c>
      <c r="AI36">
        <v>156388</v>
      </c>
      <c r="AK36">
        <f>SUM(AF36:AI36)</f>
        <v>1097117</v>
      </c>
    </row>
    <row r="37" spans="1:37" x14ac:dyDescent="0.25">
      <c r="A37" t="s">
        <v>37</v>
      </c>
      <c r="B37" t="s">
        <v>92</v>
      </c>
      <c r="C37" t="s">
        <v>84</v>
      </c>
      <c r="D37" t="s">
        <v>85</v>
      </c>
      <c r="E37" t="s">
        <v>93</v>
      </c>
      <c r="G37" t="s">
        <v>56</v>
      </c>
      <c r="K37" t="s">
        <v>42</v>
      </c>
      <c r="P37">
        <v>2435581</v>
      </c>
      <c r="Q37" s="1">
        <v>45874</v>
      </c>
      <c r="R37" s="1">
        <v>46401</v>
      </c>
      <c r="S37">
        <f>IF(AA37="ΟΛΟΚΛΗΡΩΘΗΚΕ",100%,IFERROR(S37/O37,0%))</f>
        <v>0</v>
      </c>
      <c r="V37">
        <v>1077360</v>
      </c>
      <c r="W37">
        <v>448617</v>
      </c>
      <c r="X37">
        <v>719197</v>
      </c>
      <c r="Y37">
        <v>190407</v>
      </c>
      <c r="Z37">
        <f>SUM(S37:X37)</f>
        <v>2435581</v>
      </c>
      <c r="AA37" t="b">
        <f>ROUND(Y37,-1)=ROUND(O37,-1)</f>
        <v>1</v>
      </c>
      <c r="AB37" t="s">
        <v>52</v>
      </c>
      <c r="AE37" t="s">
        <v>64</v>
      </c>
      <c r="AF37" t="s">
        <v>42</v>
      </c>
      <c r="AG37">
        <v>900183</v>
      </c>
      <c r="AH37">
        <v>916166</v>
      </c>
      <c r="AI37">
        <v>636070</v>
      </c>
      <c r="AK37">
        <f>SUM(AF37:AI37)</f>
        <v>2452419</v>
      </c>
    </row>
    <row r="38" spans="1:37" x14ac:dyDescent="0.25">
      <c r="A38" t="s">
        <v>37</v>
      </c>
      <c r="B38">
        <v>33</v>
      </c>
      <c r="C38" t="s">
        <v>84</v>
      </c>
      <c r="D38" t="s">
        <v>85</v>
      </c>
      <c r="E38" t="s">
        <v>94</v>
      </c>
      <c r="G38" t="s">
        <v>51</v>
      </c>
      <c r="K38" t="s">
        <v>42</v>
      </c>
      <c r="P38">
        <v>3055550</v>
      </c>
      <c r="Q38" s="1">
        <v>46271</v>
      </c>
      <c r="R38" s="1">
        <v>46798</v>
      </c>
      <c r="S38">
        <f>IF(AA38="ΟΛΟΚΛΗΡΩΘΗΚΕ",100%,IFERROR(S38/O38,0%))</f>
        <v>0</v>
      </c>
      <c r="V38">
        <v>507681</v>
      </c>
      <c r="W38">
        <v>1224331</v>
      </c>
      <c r="X38">
        <v>1323538</v>
      </c>
      <c r="Z38">
        <f>SUM(S38:X38)</f>
        <v>3055550</v>
      </c>
      <c r="AA38" t="b">
        <f>ROUND(Y38,-1)=ROUND(O38,-1)</f>
        <v>1</v>
      </c>
      <c r="AB38" t="s">
        <v>52</v>
      </c>
      <c r="AF38" t="s">
        <v>42</v>
      </c>
      <c r="AG38">
        <v>840608</v>
      </c>
      <c r="AH38">
        <v>1198674</v>
      </c>
      <c r="AI38">
        <v>692551</v>
      </c>
      <c r="AJ38">
        <v>245858</v>
      </c>
      <c r="AK38">
        <f>SUM(AF38:AI38)</f>
        <v>2977691</v>
      </c>
    </row>
    <row r="39" spans="1:37" x14ac:dyDescent="0.25">
      <c r="A39" t="s">
        <v>37</v>
      </c>
      <c r="B39">
        <v>34</v>
      </c>
      <c r="C39" t="s">
        <v>84</v>
      </c>
      <c r="D39" t="s">
        <v>85</v>
      </c>
      <c r="E39" t="s">
        <v>95</v>
      </c>
      <c r="G39" t="s">
        <v>41</v>
      </c>
      <c r="I39" t="s">
        <v>42</v>
      </c>
      <c r="J39" t="s">
        <v>96</v>
      </c>
      <c r="K39" t="s">
        <v>42</v>
      </c>
      <c r="Q39" s="1">
        <v>45572</v>
      </c>
      <c r="R39" s="1">
        <v>46097</v>
      </c>
      <c r="S39">
        <f>IF(AA39="ΟΛΟΚΛΗΡΩΘΗΚΕ",100%,IFERROR(S39/O39,0%))</f>
        <v>0</v>
      </c>
      <c r="Z39">
        <f>SUM(S39:X39)</f>
        <v>0</v>
      </c>
      <c r="AA39" t="b">
        <f>ROUND(Y39,-1)=ROUND(O39,-1)</f>
        <v>0</v>
      </c>
      <c r="AB39" t="s">
        <v>52</v>
      </c>
      <c r="AC39" s="1">
        <v>46001</v>
      </c>
      <c r="AD39" s="1">
        <v>46525</v>
      </c>
      <c r="AE39" t="s">
        <v>49</v>
      </c>
      <c r="AF39" t="s">
        <v>42</v>
      </c>
      <c r="AG39">
        <v>633768</v>
      </c>
      <c r="AH39">
        <v>990935</v>
      </c>
      <c r="AI39">
        <v>545316</v>
      </c>
      <c r="AK39">
        <f>SUM(AF39:AI39)</f>
        <v>2170019</v>
      </c>
    </row>
    <row r="40" spans="1:37" x14ac:dyDescent="0.25">
      <c r="A40" t="s">
        <v>37</v>
      </c>
      <c r="B40">
        <v>35</v>
      </c>
      <c r="C40" t="s">
        <v>97</v>
      </c>
      <c r="D40" t="s">
        <v>98</v>
      </c>
      <c r="E40" t="s">
        <v>99</v>
      </c>
      <c r="K40" t="s">
        <v>42</v>
      </c>
      <c r="L40" t="s">
        <v>42</v>
      </c>
      <c r="P40">
        <v>2796866</v>
      </c>
      <c r="Q40" s="1">
        <v>45969</v>
      </c>
      <c r="R40" s="1">
        <v>46494</v>
      </c>
      <c r="S40">
        <f>IF(AA40="ΟΛΟΚΛΗΡΩΘΗΚΕ",100%,IFERROR(S40/O40,0%))</f>
        <v>0.6144856421437423</v>
      </c>
      <c r="T40">
        <v>1718634</v>
      </c>
      <c r="V40">
        <v>797801</v>
      </c>
      <c r="W40">
        <v>280431</v>
      </c>
      <c r="Z40">
        <f>SUM(S40:X40)</f>
        <v>2796866</v>
      </c>
      <c r="AA40" t="b">
        <f>ROUND(Y40,-1)=ROUND(O40,-1)</f>
        <v>1</v>
      </c>
      <c r="AB40" t="s">
        <v>44</v>
      </c>
      <c r="AE40" t="s">
        <v>69</v>
      </c>
      <c r="AF40" t="s">
        <v>42</v>
      </c>
      <c r="AK40">
        <f>SUM(AF40:AI40)</f>
        <v>0</v>
      </c>
    </row>
    <row r="41" spans="2:37" x14ac:dyDescent="0.25">
      <c r="B41">
        <v>36</v>
      </c>
      <c r="C41" t="s">
        <v>97</v>
      </c>
      <c r="D41" t="s">
        <v>98</v>
      </c>
      <c r="E41" t="s">
        <v>100</v>
      </c>
      <c r="G41" t="s">
        <v>51</v>
      </c>
      <c r="K41" t="s">
        <v>42</v>
      </c>
      <c r="L41" t="s">
        <v>42</v>
      </c>
      <c r="P41">
        <v>2078570</v>
      </c>
      <c r="Q41" s="1">
        <v>46365</v>
      </c>
      <c r="R41" s="1">
        <v>46891</v>
      </c>
      <c r="S41">
        <f>IF(AA41="ΟΛΟΚΛΗΡΩΘΗΚΕ",100%,IFERROR(S41/O41,0%))</f>
        <v>1</v>
      </c>
      <c r="T41">
        <v>2078570</v>
      </c>
      <c r="Z41">
        <f>SUM(S41:X41)</f>
        <v>2078570</v>
      </c>
      <c r="AA41" t="b">
        <f>ROUND(Y41,-1)=ROUND(O41,-1)</f>
        <v>1</v>
      </c>
      <c r="AB41" t="s">
        <v>48</v>
      </c>
      <c r="AF41" t="s">
        <v>42</v>
      </c>
      <c r="AG41">
        <v>954300</v>
      </c>
      <c r="AH41">
        <v>607496</v>
      </c>
      <c r="AI41">
        <v>374343</v>
      </c>
      <c r="AK41">
        <f>SUM(AF41:AI41)</f>
        <v>1936139</v>
      </c>
    </row>
    <row r="42" spans="1:37" x14ac:dyDescent="0.25">
      <c r="A42" t="s">
        <v>37</v>
      </c>
      <c r="B42">
        <v>37</v>
      </c>
      <c r="C42" t="s">
        <v>97</v>
      </c>
      <c r="D42" t="s">
        <v>98</v>
      </c>
      <c r="E42" t="s">
        <v>101</v>
      </c>
      <c r="G42" t="s">
        <v>41</v>
      </c>
      <c r="I42" t="s">
        <v>42</v>
      </c>
      <c r="K42" t="s">
        <v>42</v>
      </c>
      <c r="P42">
        <v>1820723</v>
      </c>
      <c r="Q42" s="1">
        <v>45301</v>
      </c>
      <c r="R42" s="1">
        <v>46192</v>
      </c>
      <c r="S42">
        <f>IF(AA42="ΟΛΟΚΛΗΡΩΘΗΚΕ",100%,IFERROR(S42/O42,0%))</f>
        <v>0.11111849523513462</v>
      </c>
      <c r="T42">
        <v>202316</v>
      </c>
      <c r="V42">
        <v>966092</v>
      </c>
      <c r="W42">
        <v>321771</v>
      </c>
      <c r="X42">
        <v>330544</v>
      </c>
      <c r="Z42">
        <f>SUM(S42:X42)</f>
        <v>1820723</v>
      </c>
      <c r="AA42" t="b">
        <f>ROUND(Y42,-1)=ROUND(O42,-1)</f>
        <v>1</v>
      </c>
      <c r="AB42" t="s">
        <v>52</v>
      </c>
      <c r="AC42" s="1">
        <v>45729</v>
      </c>
      <c r="AD42" s="1">
        <v>46620</v>
      </c>
      <c r="AE42" t="s">
        <v>57</v>
      </c>
      <c r="AF42" t="s">
        <v>42</v>
      </c>
      <c r="AG42">
        <v>719233</v>
      </c>
      <c r="AH42">
        <v>452339</v>
      </c>
      <c r="AI42">
        <v>477889</v>
      </c>
      <c r="AK42">
        <f>SUM(AF42:AI42)</f>
        <v>1649461</v>
      </c>
    </row>
    <row r="43" spans="1:37" x14ac:dyDescent="0.25">
      <c r="A43" t="s">
        <v>37</v>
      </c>
      <c r="B43">
        <v>38</v>
      </c>
      <c r="C43" t="s">
        <v>97</v>
      </c>
      <c r="D43" t="s">
        <v>98</v>
      </c>
      <c r="E43" t="s">
        <v>102</v>
      </c>
      <c r="G43" t="s">
        <v>56</v>
      </c>
      <c r="J43" t="s">
        <v>47</v>
      </c>
      <c r="K43" t="s">
        <v>42</v>
      </c>
      <c r="P43">
        <v>3006832</v>
      </c>
      <c r="Q43" s="1">
        <v>45699</v>
      </c>
      <c r="R43" s="1">
        <v>46588</v>
      </c>
      <c r="S43">
        <f>IF(AA43="ΟΛΟΚΛΗΡΩΘΗΚΕ",100%,IFERROR(S43/O43,0%))</f>
        <v>0</v>
      </c>
      <c r="V43">
        <v>873599</v>
      </c>
      <c r="W43">
        <v>1256515</v>
      </c>
      <c r="X43">
        <v>683775</v>
      </c>
      <c r="Y43">
        <v>192943</v>
      </c>
      <c r="Z43">
        <f>SUM(S43:X43)</f>
        <v>3006832</v>
      </c>
      <c r="AA43" t="b">
        <f>ROUND(Y43,-1)=ROUND(O43,-1)</f>
        <v>1</v>
      </c>
      <c r="AB43" t="s">
        <v>52</v>
      </c>
      <c r="AE43" t="s">
        <v>75</v>
      </c>
      <c r="AF43" t="s">
        <v>42</v>
      </c>
      <c r="AG43">
        <v>1080554</v>
      </c>
      <c r="AH43">
        <v>180213</v>
      </c>
      <c r="AI43">
        <v>187713</v>
      </c>
      <c r="AJ43">
        <v>133093</v>
      </c>
      <c r="AK43">
        <f>SUM(AF43:AI43)</f>
        <v>1581573</v>
      </c>
    </row>
    <row r="44" spans="1:37" x14ac:dyDescent="0.25">
      <c r="A44" t="s">
        <v>37</v>
      </c>
      <c r="B44">
        <v>39</v>
      </c>
      <c r="C44" t="s">
        <v>97</v>
      </c>
      <c r="D44" t="s">
        <v>98</v>
      </c>
      <c r="E44" t="s">
        <v>103</v>
      </c>
      <c r="G44" t="s">
        <v>51</v>
      </c>
      <c r="K44" t="s">
        <v>42</v>
      </c>
      <c r="L44" t="s">
        <v>42</v>
      </c>
      <c r="M44" t="s">
        <v>43</v>
      </c>
      <c r="N44">
        <v>3672505</v>
      </c>
      <c r="P44">
        <v>3703269</v>
      </c>
      <c r="Q44" s="1">
        <v>46093</v>
      </c>
      <c r="R44" s="1">
        <v>46986</v>
      </c>
      <c r="S44">
        <f>IF(AA44="ΟΛΟΚΛΗΡΩΘΗΚΕ",100%,IFERROR(S44/O44,0%))</f>
        <v>0.3751553019777931</v>
      </c>
      <c r="T44">
        <v>1389301</v>
      </c>
      <c r="V44">
        <v>1259907</v>
      </c>
      <c r="W44">
        <v>1054061</v>
      </c>
      <c r="Z44">
        <f>SUM(S44:X44)</f>
        <v>3703269</v>
      </c>
      <c r="AA44" t="b">
        <f>ROUND(Y44,-1)=ROUND(O44,-1)</f>
        <v>1</v>
      </c>
      <c r="AB44" t="s">
        <v>44</v>
      </c>
      <c r="AF44" t="s">
        <v>42</v>
      </c>
      <c r="AG44">
        <v>806028</v>
      </c>
      <c r="AH44">
        <v>911682</v>
      </c>
      <c r="AI44">
        <v>332073</v>
      </c>
      <c r="AK44">
        <f>SUM(AF44:AI44)</f>
        <v>2049783</v>
      </c>
    </row>
    <row r="45" spans="1:37" x14ac:dyDescent="0.25">
      <c r="A45" t="s">
        <v>37</v>
      </c>
      <c r="B45">
        <v>40</v>
      </c>
      <c r="C45" t="s">
        <v>97</v>
      </c>
      <c r="D45" t="s">
        <v>98</v>
      </c>
      <c r="E45" t="s">
        <v>104</v>
      </c>
      <c r="G45" t="s">
        <v>41</v>
      </c>
      <c r="I45" t="s">
        <v>42</v>
      </c>
      <c r="K45" t="s">
        <v>42</v>
      </c>
      <c r="L45" t="s">
        <v>42</v>
      </c>
      <c r="P45">
        <v>2704769</v>
      </c>
      <c r="Q45" s="1">
        <v>45395</v>
      </c>
      <c r="R45" s="1">
        <v>46287</v>
      </c>
      <c r="S45">
        <f>IF(AA45="ΟΛΟΚΛΗΡΩΘΗΚΕ",100%,IFERROR(S45/O45,0%))</f>
        <v>1</v>
      </c>
      <c r="T45">
        <v>2704769</v>
      </c>
      <c r="Z45">
        <f>SUM(S45:X45)</f>
        <v>2704769</v>
      </c>
      <c r="AA45" t="b">
        <f>ROUND(Y45,-1)=ROUND(O45,-1)</f>
        <v>1</v>
      </c>
      <c r="AB45" t="s">
        <v>48</v>
      </c>
      <c r="AC45" s="1">
        <v>45824</v>
      </c>
      <c r="AD45" s="1">
        <v>46715</v>
      </c>
      <c r="AE45" t="s">
        <v>64</v>
      </c>
      <c r="AF45" t="s">
        <v>42</v>
      </c>
      <c r="AK45">
        <f>SUM(AF45:AI45)</f>
        <v>0</v>
      </c>
    </row>
    <row r="46" spans="1:37" x14ac:dyDescent="0.25">
      <c r="A46" t="s">
        <v>37</v>
      </c>
      <c r="B46">
        <v>41</v>
      </c>
      <c r="C46" t="s">
        <v>97</v>
      </c>
      <c r="D46" t="s">
        <v>98</v>
      </c>
      <c r="E46" t="s">
        <v>105</v>
      </c>
      <c r="K46" t="s">
        <v>42</v>
      </c>
      <c r="P46">
        <v>2438920</v>
      </c>
      <c r="Q46" s="1">
        <v>45791</v>
      </c>
      <c r="R46" s="1">
        <v>46683</v>
      </c>
      <c r="S46">
        <f>IF(AA46="ΟΛΟΚΛΗΡΩΘΗΚΕ",100%,IFERROR(S46/O46,0%))</f>
        <v>0</v>
      </c>
      <c r="V46">
        <v>558531</v>
      </c>
      <c r="W46">
        <v>1214438</v>
      </c>
      <c r="X46">
        <v>665951</v>
      </c>
      <c r="Z46">
        <f>SUM(S46:X46)</f>
        <v>2438920</v>
      </c>
      <c r="AA46" t="b">
        <f>ROUND(Y46,-1)=ROUND(O46,-1)</f>
        <v>1</v>
      </c>
      <c r="AB46" t="s">
        <v>52</v>
      </c>
      <c r="AE46" t="s">
        <v>45</v>
      </c>
      <c r="AF46" t="s">
        <v>42</v>
      </c>
      <c r="AG46">
        <v>958851</v>
      </c>
      <c r="AH46">
        <v>560353</v>
      </c>
      <c r="AI46">
        <v>581292</v>
      </c>
      <c r="AK46">
        <f>SUM(AF46:AI46)</f>
        <v>2100496</v>
      </c>
    </row>
    <row r="47" spans="1:37" x14ac:dyDescent="0.25">
      <c r="A47" t="s">
        <v>37</v>
      </c>
      <c r="B47">
        <v>42</v>
      </c>
      <c r="C47" t="s">
        <v>97</v>
      </c>
      <c r="D47" t="s">
        <v>98</v>
      </c>
      <c r="E47" t="s">
        <v>106</v>
      </c>
      <c r="G47" t="s">
        <v>51</v>
      </c>
      <c r="J47" t="s">
        <v>60</v>
      </c>
      <c r="K47" t="s">
        <v>42</v>
      </c>
      <c r="Q47" s="1">
        <v>46188</v>
      </c>
      <c r="R47" s="1">
        <v>47081</v>
      </c>
      <c r="S47">
        <f>IF(AA47="ΟΛΟΚΛΗΡΩΘΗΚΕ",100%,IFERROR(S47/O47,0%))</f>
        <v>0</v>
      </c>
      <c r="Z47">
        <f>SUM(S47:X47)</f>
        <v>0</v>
      </c>
      <c r="AA47" t="b">
        <f>ROUND(Y47,-1)=ROUND(O47,-1)</f>
        <v>0</v>
      </c>
      <c r="AB47" t="s">
        <v>52</v>
      </c>
      <c r="AF47" t="s">
        <v>42</v>
      </c>
      <c r="AG47">
        <v>490619</v>
      </c>
      <c r="AH47">
        <v>756502</v>
      </c>
      <c r="AI47">
        <v>273035</v>
      </c>
      <c r="AK47">
        <f>SUM(AF47:AI47)</f>
        <v>1520156</v>
      </c>
    </row>
    <row r="48" spans="1:37" x14ac:dyDescent="0.25">
      <c r="A48" t="s">
        <v>37</v>
      </c>
      <c r="B48">
        <v>43</v>
      </c>
      <c r="C48" t="s">
        <v>97</v>
      </c>
      <c r="D48" t="s">
        <v>98</v>
      </c>
      <c r="E48" t="s">
        <v>107</v>
      </c>
      <c r="G48" t="s">
        <v>41</v>
      </c>
      <c r="I48" t="s">
        <v>42</v>
      </c>
      <c r="K48" t="s">
        <v>42</v>
      </c>
      <c r="P48">
        <v>2946679</v>
      </c>
      <c r="Q48" s="1">
        <v>45489</v>
      </c>
      <c r="R48" s="1">
        <v>46381</v>
      </c>
      <c r="S48">
        <f>IF(AA48="ΟΛΟΚΛΗΡΩΘΗΚΕ",100%,IFERROR(S48/O48,0%))</f>
        <v>0.047947197506073784</v>
      </c>
      <c r="T48">
        <v>141285</v>
      </c>
      <c r="V48">
        <v>959907</v>
      </c>
      <c r="W48">
        <v>672794</v>
      </c>
      <c r="X48">
        <v>1172693</v>
      </c>
      <c r="Z48">
        <f>SUM(S48:X48)</f>
        <v>2946679</v>
      </c>
      <c r="AA48" t="b">
        <f>ROUND(Y48,-1)=ROUND(O48,-1)</f>
        <v>1</v>
      </c>
      <c r="AB48" t="s">
        <v>52</v>
      </c>
      <c r="AC48" s="1">
        <v>45919</v>
      </c>
      <c r="AD48" s="1">
        <v>46445</v>
      </c>
      <c r="AE48" t="s">
        <v>69</v>
      </c>
      <c r="AF48" t="s">
        <v>42</v>
      </c>
      <c r="AG48">
        <v>663977</v>
      </c>
      <c r="AH48">
        <v>1106908</v>
      </c>
      <c r="AI48">
        <v>332141</v>
      </c>
      <c r="AJ48">
        <v>226321</v>
      </c>
      <c r="AK48">
        <f>SUM(AF48:AI48)</f>
        <v>2329347</v>
      </c>
    </row>
    <row r="49" spans="1:37" x14ac:dyDescent="0.25">
      <c r="A49" t="s">
        <v>37</v>
      </c>
      <c r="B49">
        <v>44</v>
      </c>
      <c r="C49" t="s">
        <v>97</v>
      </c>
      <c r="D49" t="s">
        <v>98</v>
      </c>
      <c r="E49" t="s">
        <v>108</v>
      </c>
      <c r="G49" t="s">
        <v>56</v>
      </c>
      <c r="K49" t="s">
        <v>42</v>
      </c>
      <c r="L49" t="s">
        <v>42</v>
      </c>
      <c r="M49" t="s">
        <v>43</v>
      </c>
      <c r="N49">
        <v>3679480</v>
      </c>
      <c r="O49">
        <v>5718859</v>
      </c>
      <c r="P49">
        <v>3710302</v>
      </c>
      <c r="Q49" s="1">
        <v>45886</v>
      </c>
      <c r="R49" s="1">
        <v>46413</v>
      </c>
      <c r="S49">
        <f>IF(AA49="ΟΛΟΚΛΗΡΩΘΗΚΕ",100%,IFERROR(S49/O49,0%))</f>
        <v>0.7140302864834184</v>
      </c>
      <c r="T49">
        <v>2649268</v>
      </c>
      <c r="V49">
        <v>876692</v>
      </c>
      <c r="W49">
        <v>184342</v>
      </c>
      <c r="Z49">
        <f>SUM(S49:X49)</f>
        <v>3710302</v>
      </c>
      <c r="AA49" t="b">
        <f>ROUND(Y49,-1)=ROUND(O49,-1)</f>
        <v>1</v>
      </c>
      <c r="AB49" t="s">
        <v>44</v>
      </c>
      <c r="AE49" t="s">
        <v>54</v>
      </c>
      <c r="AF49" t="s">
        <v>42</v>
      </c>
      <c r="AG49">
        <v>1103090</v>
      </c>
      <c r="AH49">
        <v>274702</v>
      </c>
      <c r="AI49">
        <v>418786</v>
      </c>
      <c r="AK49">
        <f>SUM(AF49:AI49)</f>
        <v>1796578</v>
      </c>
    </row>
    <row r="50" spans="1:37" x14ac:dyDescent="0.25">
      <c r="A50" t="s">
        <v>37</v>
      </c>
      <c r="B50">
        <v>45</v>
      </c>
      <c r="C50" t="s">
        <v>97</v>
      </c>
      <c r="D50" t="s">
        <v>98</v>
      </c>
      <c r="E50" t="s">
        <v>109</v>
      </c>
      <c r="G50" t="s">
        <v>51</v>
      </c>
      <c r="K50" t="s">
        <v>42</v>
      </c>
      <c r="L50" t="s">
        <v>42</v>
      </c>
      <c r="P50">
        <v>3030852</v>
      </c>
      <c r="Q50" s="1">
        <v>46283</v>
      </c>
      <c r="R50" s="1">
        <v>46810</v>
      </c>
      <c r="S50">
        <f>IF(AA50="ΟΛΟΚΛΗΡΩΘΗΚΕ",100%,IFERROR(S50/O50,0%))</f>
        <v>1</v>
      </c>
      <c r="T50">
        <v>3030852</v>
      </c>
      <c r="X50" t="s">
        <v>110</v>
      </c>
      <c r="Z50">
        <f>SUM(S50:X50)</f>
        <v>3030852</v>
      </c>
      <c r="AA50" t="b">
        <f>ROUND(Y50,-1)=ROUND(O50,-1)</f>
        <v>1</v>
      </c>
      <c r="AB50" t="s">
        <v>48</v>
      </c>
      <c r="AF50" t="s">
        <v>42</v>
      </c>
      <c r="AK50">
        <f>SUM(AF50:AI50)</f>
        <v>0</v>
      </c>
    </row>
    <row r="51" spans="1:37" x14ac:dyDescent="0.25">
      <c r="A51" t="s">
        <v>37</v>
      </c>
      <c r="B51">
        <v>46</v>
      </c>
      <c r="C51" t="s">
        <v>97</v>
      </c>
      <c r="D51" t="s">
        <v>98</v>
      </c>
      <c r="E51" t="s">
        <v>111</v>
      </c>
      <c r="I51" t="s">
        <v>42</v>
      </c>
      <c r="J51" t="s">
        <v>67</v>
      </c>
      <c r="K51" t="s">
        <v>42</v>
      </c>
      <c r="P51">
        <v>1554224</v>
      </c>
      <c r="Q51" s="1">
        <v>45584</v>
      </c>
      <c r="R51" s="1">
        <v>46082</v>
      </c>
      <c r="S51">
        <f>IF(AA51="ΟΛΟΚΛΗΡΩΘΗΚΕ",100%,IFERROR(S51/O51,0%))</f>
        <v>0</v>
      </c>
      <c r="V51">
        <v>1068774</v>
      </c>
      <c r="W51">
        <v>208046</v>
      </c>
      <c r="X51">
        <v>191347</v>
      </c>
      <c r="Y51">
        <v>86057</v>
      </c>
      <c r="Z51">
        <f>SUM(S51:X51)</f>
        <v>1554224</v>
      </c>
      <c r="AA51" t="b">
        <f>ROUND(Y51,-1)=ROUND(O51,-1)</f>
        <v>1</v>
      </c>
      <c r="AB51" t="s">
        <v>52</v>
      </c>
      <c r="AC51" s="1">
        <v>46013</v>
      </c>
      <c r="AD51" s="1">
        <v>46510</v>
      </c>
      <c r="AE51" t="s">
        <v>75</v>
      </c>
      <c r="AF51" t="s">
        <v>42</v>
      </c>
      <c r="AG51">
        <v>1184567</v>
      </c>
      <c r="AH51">
        <v>396818</v>
      </c>
      <c r="AI51">
        <v>241550</v>
      </c>
      <c r="AK51">
        <f>SUM(AF51:AI51)</f>
        <v>1822935</v>
      </c>
    </row>
    <row r="52" spans="2:37" x14ac:dyDescent="0.25">
      <c r="B52">
        <v>47</v>
      </c>
      <c r="C52" t="s">
        <v>97</v>
      </c>
      <c r="D52" t="s">
        <v>98</v>
      </c>
      <c r="E52" t="s">
        <v>112</v>
      </c>
      <c r="G52" t="s">
        <v>56</v>
      </c>
      <c r="K52" t="s">
        <v>42</v>
      </c>
      <c r="P52">
        <v>1381472</v>
      </c>
      <c r="Q52" s="1">
        <v>45981</v>
      </c>
      <c r="R52" s="1">
        <v>46479</v>
      </c>
      <c r="S52">
        <f>IF(AA52="ΟΛΟΚΛΗΡΩΘΗΚΕ",100%,IFERROR(S52/O52,0%))</f>
        <v>0</v>
      </c>
      <c r="V52">
        <v>707396</v>
      </c>
      <c r="W52">
        <v>510068</v>
      </c>
      <c r="X52">
        <v>164008</v>
      </c>
      <c r="Z52">
        <f>SUM(S52:X52)</f>
        <v>1381472</v>
      </c>
      <c r="AA52" t="b">
        <f>ROUND(Y52,-1)=ROUND(O52,-1)</f>
        <v>1</v>
      </c>
      <c r="AB52" t="s">
        <v>52</v>
      </c>
      <c r="AE52" t="s">
        <v>62</v>
      </c>
      <c r="AF52" t="s">
        <v>42</v>
      </c>
      <c r="AG52">
        <v>639668</v>
      </c>
      <c r="AH52">
        <v>720142</v>
      </c>
      <c r="AI52">
        <v>448333</v>
      </c>
      <c r="AK52">
        <f>SUM(AF52:AI52)</f>
        <v>1808143</v>
      </c>
    </row>
    <row r="53" spans="1:37" x14ac:dyDescent="0.25">
      <c r="A53" t="s">
        <v>37</v>
      </c>
      <c r="B53" t="s">
        <v>113</v>
      </c>
      <c r="C53" t="s">
        <v>97</v>
      </c>
      <c r="D53" t="s">
        <v>114</v>
      </c>
      <c r="E53" t="s">
        <v>115</v>
      </c>
      <c r="G53" t="s">
        <v>51</v>
      </c>
      <c r="K53" t="s">
        <v>42</v>
      </c>
      <c r="L53" t="s">
        <v>42</v>
      </c>
      <c r="M53" t="s">
        <v>43</v>
      </c>
      <c r="N53">
        <v>3856938</v>
      </c>
      <c r="O53">
        <v>6064026</v>
      </c>
      <c r="P53">
        <v>3889247</v>
      </c>
      <c r="Q53" s="1">
        <v>46377</v>
      </c>
      <c r="R53" s="1">
        <v>46876</v>
      </c>
      <c r="S53">
        <f>IF(AA53="ΟΛΟΚΛΗΡΩΘΗΚΕ",100%,IFERROR(S53/O53,0%))</f>
        <v>0.6692424009069108</v>
      </c>
      <c r="T53">
        <v>2602849</v>
      </c>
      <c r="V53">
        <v>815671</v>
      </c>
      <c r="W53">
        <v>470727</v>
      </c>
      <c r="Z53">
        <f>SUM(S53:X53)</f>
        <v>3889247</v>
      </c>
      <c r="AA53" t="b">
        <f>ROUND(Y53,-1)=ROUND(O53,-1)</f>
        <v>1</v>
      </c>
      <c r="AB53" t="s">
        <v>44</v>
      </c>
      <c r="AF53" t="s">
        <v>42</v>
      </c>
      <c r="AG53">
        <v>485279</v>
      </c>
      <c r="AH53">
        <v>785739</v>
      </c>
      <c r="AI53">
        <v>813498</v>
      </c>
      <c r="AJ53">
        <v>292972</v>
      </c>
      <c r="AK53">
        <f>SUM(AF53:AI53)</f>
        <v>2377488</v>
      </c>
    </row>
    <row r="54" spans="1:37" x14ac:dyDescent="0.25">
      <c r="A54" t="s">
        <v>37</v>
      </c>
      <c r="B54">
        <v>49</v>
      </c>
      <c r="C54" t="s">
        <v>97</v>
      </c>
      <c r="D54" t="s">
        <v>114</v>
      </c>
      <c r="E54" t="s">
        <v>116</v>
      </c>
      <c r="G54" t="s">
        <v>41</v>
      </c>
      <c r="I54" t="s">
        <v>42</v>
      </c>
      <c r="K54" t="s">
        <v>42</v>
      </c>
      <c r="Q54" s="1">
        <v>45313</v>
      </c>
      <c r="R54" s="1">
        <v>46177</v>
      </c>
      <c r="S54">
        <f>IF(AA54="ΟΛΟΚΛΗΡΩΘΗΚΕ",100%,IFERROR(S54/O54,0%))</f>
        <v>0</v>
      </c>
      <c r="Z54">
        <f>SUM(S54:X54)</f>
        <v>0</v>
      </c>
      <c r="AA54" t="b">
        <f>ROUND(Y54,-1)=ROUND(O54,-1)</f>
        <v>0</v>
      </c>
      <c r="AB54" t="s">
        <v>52</v>
      </c>
      <c r="AC54" s="1">
        <v>45741</v>
      </c>
      <c r="AD54" s="1">
        <v>46605</v>
      </c>
      <c r="AE54" t="s">
        <v>45</v>
      </c>
      <c r="AF54" t="s">
        <v>42</v>
      </c>
      <c r="AG54">
        <v>387759</v>
      </c>
      <c r="AH54">
        <v>375062</v>
      </c>
      <c r="AI54">
        <v>779132</v>
      </c>
      <c r="AK54">
        <f>SUM(AF54:AI54)</f>
        <v>1541953</v>
      </c>
    </row>
    <row r="55" spans="1:37" x14ac:dyDescent="0.25">
      <c r="A55" t="s">
        <v>37</v>
      </c>
      <c r="B55">
        <v>50</v>
      </c>
      <c r="C55" t="s">
        <v>97</v>
      </c>
      <c r="D55" t="s">
        <v>114</v>
      </c>
      <c r="E55" t="s">
        <v>117</v>
      </c>
      <c r="G55" t="s">
        <v>56</v>
      </c>
      <c r="J55" t="s">
        <v>74</v>
      </c>
      <c r="K55" t="s">
        <v>42</v>
      </c>
      <c r="L55" t="s">
        <v>42</v>
      </c>
      <c r="P55">
        <v>3444055</v>
      </c>
      <c r="Q55" s="1">
        <v>45711</v>
      </c>
      <c r="R55" s="1">
        <v>46573</v>
      </c>
      <c r="S55">
        <f>IF(AA55="ΟΛΟΚΛΗΡΩΘΗΚΕ",100%,IFERROR(S55/O55,0%))</f>
        <v>1</v>
      </c>
      <c r="T55">
        <v>3444055</v>
      </c>
      <c r="Z55">
        <f>SUM(S55:X55)</f>
        <v>3444055</v>
      </c>
      <c r="AA55" t="b">
        <f>ROUND(Y55,-1)=ROUND(O55,-1)</f>
        <v>1</v>
      </c>
      <c r="AB55" t="s">
        <v>48</v>
      </c>
      <c r="AE55" t="s">
        <v>49</v>
      </c>
      <c r="AF55" t="s">
        <v>42</v>
      </c>
      <c r="AK55">
        <f>SUM(AF55:AI55)</f>
        <v>0</v>
      </c>
    </row>
    <row r="56" spans="1:37" x14ac:dyDescent="0.25">
      <c r="A56" t="s">
        <v>37</v>
      </c>
      <c r="B56">
        <v>51</v>
      </c>
      <c r="C56" t="s">
        <v>97</v>
      </c>
      <c r="D56" t="s">
        <v>114</v>
      </c>
      <c r="E56" t="s">
        <v>118</v>
      </c>
      <c r="G56" t="s">
        <v>51</v>
      </c>
      <c r="K56" t="s">
        <v>42</v>
      </c>
      <c r="P56">
        <v>3121461</v>
      </c>
      <c r="Q56" s="1">
        <v>46105</v>
      </c>
      <c r="R56" s="1">
        <v>46971</v>
      </c>
      <c r="S56">
        <f>IF(AA56="ΟΛΟΚΛΗΡΩΘΗΚΕ",100%,IFERROR(S56/O56,0%))</f>
        <v>0.09507054549135806</v>
      </c>
      <c r="T56">
        <v>296759</v>
      </c>
      <c r="V56">
        <v>523139</v>
      </c>
      <c r="W56">
        <v>1005752</v>
      </c>
      <c r="X56">
        <v>1295811</v>
      </c>
      <c r="Z56">
        <f>SUM(S56:X56)</f>
        <v>3121461</v>
      </c>
      <c r="AA56" t="b">
        <f>ROUND(Y56,-1)=ROUND(O56,-1)</f>
        <v>1</v>
      </c>
      <c r="AB56" t="s">
        <v>52</v>
      </c>
      <c r="AF56" t="s">
        <v>42</v>
      </c>
      <c r="AG56">
        <v>1465745</v>
      </c>
      <c r="AH56" t="s">
        <v>119</v>
      </c>
      <c r="AI56">
        <v>327641</v>
      </c>
      <c r="AK56">
        <f>SUM(AF56:AI56)</f>
        <v>1793386</v>
      </c>
    </row>
    <row r="57" spans="1:37" x14ac:dyDescent="0.25">
      <c r="A57" t="s">
        <v>37</v>
      </c>
      <c r="B57">
        <v>52</v>
      </c>
      <c r="C57" t="s">
        <v>97</v>
      </c>
      <c r="D57" t="s">
        <v>114</v>
      </c>
      <c r="E57" t="s">
        <v>120</v>
      </c>
      <c r="I57" t="s">
        <v>42</v>
      </c>
      <c r="K57" t="s">
        <v>42</v>
      </c>
      <c r="P57">
        <v>1813388</v>
      </c>
      <c r="Q57" s="1">
        <v>45407</v>
      </c>
      <c r="R57" s="1">
        <v>46272</v>
      </c>
      <c r="S57">
        <f>IF(AA57="ΟΛΟΚΛΗΡΩΘΗΚΕ",100%,IFERROR(S57/O57,0%))</f>
        <v>0</v>
      </c>
      <c r="V57">
        <v>438553</v>
      </c>
      <c r="W57">
        <v>262171</v>
      </c>
      <c r="X57">
        <v>908350</v>
      </c>
      <c r="Y57">
        <v>204314</v>
      </c>
      <c r="Z57">
        <f>SUM(S57:X57)</f>
        <v>1813388</v>
      </c>
      <c r="AA57" t="b">
        <f>ROUND(Y57,-1)=ROUND(O57,-1)</f>
        <v>1</v>
      </c>
      <c r="AB57" t="s">
        <v>52</v>
      </c>
      <c r="AC57" s="1">
        <v>45809</v>
      </c>
      <c r="AD57" s="1">
        <v>46700</v>
      </c>
      <c r="AE57" t="s">
        <v>54</v>
      </c>
      <c r="AF57" t="s">
        <v>42</v>
      </c>
      <c r="AG57">
        <v>478876</v>
      </c>
      <c r="AH57">
        <v>1127743</v>
      </c>
      <c r="AI57">
        <v>331337</v>
      </c>
      <c r="AK57">
        <f>SUM(AF57:AI57)</f>
        <v>1937956</v>
      </c>
    </row>
    <row r="58" spans="1:37" x14ac:dyDescent="0.25">
      <c r="A58" t="s">
        <v>37</v>
      </c>
      <c r="B58">
        <v>53</v>
      </c>
      <c r="C58" t="s">
        <v>97</v>
      </c>
      <c r="D58" t="s">
        <v>114</v>
      </c>
      <c r="E58" t="s">
        <v>121</v>
      </c>
      <c r="G58" t="s">
        <v>56</v>
      </c>
      <c r="K58" t="s">
        <v>42</v>
      </c>
      <c r="P58">
        <v>1286875</v>
      </c>
      <c r="Q58" s="1">
        <v>45803</v>
      </c>
      <c r="R58" s="1">
        <v>46668</v>
      </c>
      <c r="S58">
        <f>IF(AA58="ΟΛΟΚΛΗΡΩΘΗΚΕ",100%,IFERROR(S58/O58,0%))</f>
        <v>0</v>
      </c>
      <c r="V58">
        <v>261371</v>
      </c>
      <c r="W58">
        <v>828778</v>
      </c>
      <c r="X58">
        <v>1075468</v>
      </c>
      <c r="Z58">
        <f>SUM(S58:X58)</f>
        <v>2165617</v>
      </c>
      <c r="AA58" t="b">
        <f>ROUND(Y58,-1)=ROUND(O58,-1)</f>
        <v>0</v>
      </c>
      <c r="AB58" t="s">
        <v>52</v>
      </c>
      <c r="AE58" t="s">
        <v>57</v>
      </c>
      <c r="AF58" t="s">
        <v>42</v>
      </c>
      <c r="AG58">
        <v>946374</v>
      </c>
      <c r="AH58">
        <v>1190266</v>
      </c>
      <c r="AI58">
        <v>383808</v>
      </c>
      <c r="AJ58">
        <v>121614</v>
      </c>
      <c r="AK58">
        <f>SUM(AF58:AI58)</f>
        <v>2642062</v>
      </c>
    </row>
    <row r="59" spans="1:37" x14ac:dyDescent="0.25">
      <c r="A59" t="s">
        <v>37</v>
      </c>
      <c r="B59">
        <v>54</v>
      </c>
      <c r="C59" t="s">
        <v>97</v>
      </c>
      <c r="D59" t="s">
        <v>114</v>
      </c>
      <c r="E59" t="s">
        <v>122</v>
      </c>
      <c r="G59" t="s">
        <v>51</v>
      </c>
      <c r="J59" t="s">
        <v>81</v>
      </c>
      <c r="K59" t="s">
        <v>42</v>
      </c>
      <c r="L59" t="s">
        <v>42</v>
      </c>
      <c r="P59">
        <v>2805115</v>
      </c>
      <c r="Q59" s="1">
        <v>46200</v>
      </c>
      <c r="R59" s="1">
        <v>47066</v>
      </c>
      <c r="S59">
        <f>IF(AA59="ΟΛΟΚΛΗΡΩΘΗΚΕ",100%,IFERROR(S59/O59,0%))</f>
        <v>0.48511879192118684</v>
      </c>
      <c r="T59">
        <v>1360814</v>
      </c>
      <c r="V59">
        <v>1017223</v>
      </c>
      <c r="W59">
        <v>427078</v>
      </c>
      <c r="Z59">
        <f>SUM(S59:X59)</f>
        <v>2805115</v>
      </c>
      <c r="AA59" t="b">
        <f>ROUND(Y59,-1)=ROUND(O59,-1)</f>
        <v>1</v>
      </c>
      <c r="AB59" t="s">
        <v>44</v>
      </c>
      <c r="AF59" t="s">
        <v>42</v>
      </c>
      <c r="AG59">
        <v>1467789</v>
      </c>
      <c r="AH59">
        <v>836652</v>
      </c>
      <c r="AI59">
        <v>669555</v>
      </c>
      <c r="AK59">
        <f>SUM(AF59:AI59)</f>
        <v>2973996</v>
      </c>
    </row>
    <row r="60" spans="1:37" x14ac:dyDescent="0.25">
      <c r="A60" t="s">
        <v>37</v>
      </c>
      <c r="B60">
        <v>55</v>
      </c>
      <c r="C60" t="s">
        <v>97</v>
      </c>
      <c r="D60" t="s">
        <v>114</v>
      </c>
      <c r="E60" t="s">
        <v>123</v>
      </c>
      <c r="G60" t="s">
        <v>41</v>
      </c>
      <c r="I60" t="s">
        <v>42</v>
      </c>
      <c r="K60" t="s">
        <v>42</v>
      </c>
      <c r="L60" t="s">
        <v>42</v>
      </c>
      <c r="P60">
        <v>2045063</v>
      </c>
      <c r="Q60" s="1">
        <v>45474</v>
      </c>
      <c r="R60" s="1">
        <v>46366</v>
      </c>
      <c r="S60">
        <f>IF(AA60="ΟΛΟΚΛΗΡΩΘΗΚΕ",100%,IFERROR(S60/O60,0%))</f>
        <v>1</v>
      </c>
      <c r="T60">
        <v>2045063</v>
      </c>
      <c r="Z60">
        <f>SUM(S60:X60)</f>
        <v>2045063</v>
      </c>
      <c r="AA60" t="b">
        <f>ROUND(Y60,-1)=ROUND(O60,-1)</f>
        <v>1</v>
      </c>
      <c r="AB60" t="s">
        <v>48</v>
      </c>
      <c r="AC60" s="1">
        <v>45904</v>
      </c>
      <c r="AD60" s="1">
        <v>46430</v>
      </c>
      <c r="AE60" t="s">
        <v>62</v>
      </c>
      <c r="AF60" t="s">
        <v>42</v>
      </c>
      <c r="AK60">
        <f>SUM(AF60:AI60)</f>
        <v>0</v>
      </c>
    </row>
    <row r="61" spans="1:37" x14ac:dyDescent="0.25">
      <c r="A61" t="s">
        <v>37</v>
      </c>
      <c r="B61">
        <v>56</v>
      </c>
      <c r="C61" t="s">
        <v>97</v>
      </c>
      <c r="D61" t="s">
        <v>114</v>
      </c>
      <c r="E61" t="s">
        <v>124</v>
      </c>
      <c r="G61" t="s">
        <v>56</v>
      </c>
      <c r="K61" t="s">
        <v>42</v>
      </c>
      <c r="Q61" s="1">
        <v>45871</v>
      </c>
      <c r="R61" s="1">
        <v>46398</v>
      </c>
      <c r="S61">
        <f>IF(AA61="ΟΛΟΚΛΗΡΩΘΗΚΕ",100%,IFERROR(S61/O61,0%))</f>
        <v>0</v>
      </c>
      <c r="Z61">
        <f>SUM(S61:X61)</f>
        <v>0</v>
      </c>
      <c r="AA61" t="b">
        <f>ROUND(Y61,-1)=ROUND(O61,-1)</f>
        <v>0</v>
      </c>
      <c r="AB61" t="s">
        <v>52</v>
      </c>
      <c r="AE61" t="s">
        <v>64</v>
      </c>
      <c r="AF61" t="s">
        <v>42</v>
      </c>
      <c r="AG61">
        <v>423457</v>
      </c>
      <c r="AH61">
        <v>1209285</v>
      </c>
      <c r="AI61">
        <v>741418</v>
      </c>
      <c r="AK61">
        <f>SUM(AF61:AI61)</f>
        <v>2374160</v>
      </c>
    </row>
    <row r="62" spans="1:37" x14ac:dyDescent="0.25">
      <c r="A62" t="s">
        <v>37</v>
      </c>
      <c r="B62">
        <v>57</v>
      </c>
      <c r="C62" t="s">
        <v>97</v>
      </c>
      <c r="D62" t="s">
        <v>114</v>
      </c>
      <c r="E62" t="s">
        <v>125</v>
      </c>
      <c r="K62" t="s">
        <v>42</v>
      </c>
      <c r="P62">
        <v>3583558</v>
      </c>
      <c r="Q62" s="1">
        <v>46268</v>
      </c>
      <c r="R62" s="1">
        <v>46795</v>
      </c>
      <c r="S62">
        <f>IF(AA62="ΟΛΟΚΛΗΡΩΘΗΚΕ",100%,IFERROR(S62/O62,0%))</f>
        <v>0.07247601406200206</v>
      </c>
      <c r="T62">
        <v>259722</v>
      </c>
      <c r="V62">
        <v>742514</v>
      </c>
      <c r="W62">
        <v>1246590</v>
      </c>
      <c r="X62">
        <v>1334732</v>
      </c>
      <c r="Z62">
        <f>SUM(S62:X62)</f>
        <v>3583558</v>
      </c>
      <c r="AA62" t="b">
        <f>ROUND(Y62,-1)=ROUND(O62,-1)</f>
        <v>1</v>
      </c>
      <c r="AB62" t="s">
        <v>52</v>
      </c>
      <c r="AF62" t="s">
        <v>42</v>
      </c>
      <c r="AG62">
        <v>741487</v>
      </c>
      <c r="AH62">
        <v>576898</v>
      </c>
      <c r="AI62">
        <v>369444</v>
      </c>
      <c r="AK62">
        <f>SUM(AF62:AI62)</f>
        <v>1687829</v>
      </c>
    </row>
    <row r="63" spans="2:37" x14ac:dyDescent="0.25">
      <c r="B63">
        <v>58</v>
      </c>
      <c r="C63" t="s">
        <v>97</v>
      </c>
      <c r="D63" t="s">
        <v>114</v>
      </c>
      <c r="E63" t="s">
        <v>126</v>
      </c>
      <c r="G63" t="s">
        <v>41</v>
      </c>
      <c r="I63" t="s">
        <v>42</v>
      </c>
      <c r="J63" t="s">
        <v>86</v>
      </c>
      <c r="K63" t="s">
        <v>42</v>
      </c>
      <c r="P63">
        <v>1910797</v>
      </c>
      <c r="Q63" s="1">
        <v>45569</v>
      </c>
      <c r="R63" s="1">
        <v>46094</v>
      </c>
      <c r="S63">
        <f>IF(AA63="ΟΛΟΚΛΗΡΩΘΗΚΕ",100%,IFERROR(S63/O63,0%))</f>
        <v>0</v>
      </c>
      <c r="V63">
        <v>874661</v>
      </c>
      <c r="W63">
        <v>160995</v>
      </c>
      <c r="X63">
        <v>747865</v>
      </c>
      <c r="Y63">
        <v>127276</v>
      </c>
      <c r="Z63">
        <f>SUM(S63:X63)</f>
        <v>1910797</v>
      </c>
      <c r="AA63" t="b">
        <f>ROUND(Y63,-1)=ROUND(O63,-1)</f>
        <v>1</v>
      </c>
      <c r="AB63" t="s">
        <v>52</v>
      </c>
      <c r="AC63" s="1">
        <v>45998</v>
      </c>
      <c r="AD63" s="1">
        <v>46522</v>
      </c>
      <c r="AE63" t="s">
        <v>49</v>
      </c>
      <c r="AF63" t="s">
        <v>42</v>
      </c>
      <c r="AG63">
        <v>1177081</v>
      </c>
      <c r="AH63">
        <v>723347</v>
      </c>
      <c r="AI63">
        <v>279176</v>
      </c>
      <c r="AJ63">
        <v>90984</v>
      </c>
      <c r="AK63">
        <f>SUM(AF63:AI63)</f>
        <v>2270588</v>
      </c>
    </row>
    <row r="64" spans="1:37" x14ac:dyDescent="0.25">
      <c r="A64" t="s">
        <v>37</v>
      </c>
      <c r="B64">
        <v>59</v>
      </c>
      <c r="C64" t="s">
        <v>97</v>
      </c>
      <c r="D64" t="s">
        <v>114</v>
      </c>
      <c r="E64" t="s">
        <v>127</v>
      </c>
      <c r="G64" t="s">
        <v>56</v>
      </c>
      <c r="K64" t="s">
        <v>42</v>
      </c>
      <c r="L64" t="s">
        <v>42</v>
      </c>
      <c r="M64" t="s">
        <v>43</v>
      </c>
      <c r="N64">
        <v>5422143</v>
      </c>
      <c r="O64">
        <v>70900000</v>
      </c>
      <c r="P64">
        <v>5467562</v>
      </c>
      <c r="Q64" s="1">
        <v>45966</v>
      </c>
      <c r="R64" s="1">
        <v>46491</v>
      </c>
      <c r="S64">
        <f>IF(AA64="ΟΛΟΚΛΗΡΩΘΗΚΕ",100%,IFERROR(S64/O64,0%))</f>
        <v>0.43191352928416726</v>
      </c>
      <c r="T64">
        <v>2361514</v>
      </c>
      <c r="V64">
        <v>2004865</v>
      </c>
      <c r="W64">
        <v>1101183</v>
      </c>
      <c r="Z64">
        <f>SUM(S64:X64)</f>
        <v>5467562</v>
      </c>
      <c r="AA64" t="b">
        <f>ROUND(Y64,-1)=ROUND(O64,-1)</f>
        <v>1</v>
      </c>
      <c r="AB64" t="s">
        <v>44</v>
      </c>
      <c r="AE64" t="s">
        <v>69</v>
      </c>
      <c r="AF64" t="s">
        <v>42</v>
      </c>
      <c r="AG64">
        <v>756666</v>
      </c>
      <c r="AH64">
        <v>1202160</v>
      </c>
      <c r="AI64">
        <v>809317</v>
      </c>
      <c r="AK64">
        <f>SUM(AF64:AI64)</f>
        <v>2768143</v>
      </c>
    </row>
    <row r="65" spans="1:37" x14ac:dyDescent="0.25">
      <c r="A65" t="s">
        <v>37</v>
      </c>
      <c r="B65">
        <v>60</v>
      </c>
      <c r="C65" t="s">
        <v>97</v>
      </c>
      <c r="D65" t="s">
        <v>114</v>
      </c>
      <c r="E65" t="s">
        <v>128</v>
      </c>
      <c r="G65" t="s">
        <v>51</v>
      </c>
      <c r="K65" t="s">
        <v>42</v>
      </c>
      <c r="L65" t="s">
        <v>42</v>
      </c>
      <c r="P65">
        <v>1920989</v>
      </c>
      <c r="Q65" s="1">
        <v>46362</v>
      </c>
      <c r="R65" s="1">
        <v>46888</v>
      </c>
      <c r="S65">
        <f>IF(AA65="ΟΛΟΚΛΗΡΩΘΗΚΕ",100%,IFERROR(S65/O65,0%))</f>
        <v>1</v>
      </c>
      <c r="T65">
        <v>1920989</v>
      </c>
      <c r="Z65">
        <f>SUM(S65:X65)</f>
        <v>1920989</v>
      </c>
      <c r="AA65" t="b">
        <f>ROUND(Y65,-1)=ROUND(O65,-1)</f>
        <v>1</v>
      </c>
      <c r="AB65" t="s">
        <v>48</v>
      </c>
      <c r="AF65" t="s">
        <v>42</v>
      </c>
      <c r="AK65">
        <f>SUM(AF65:AI65)</f>
        <v>0</v>
      </c>
    </row>
    <row r="66" spans="1:37" x14ac:dyDescent="0.25">
      <c r="A66" t="s">
        <v>37</v>
      </c>
      <c r="B66">
        <v>61</v>
      </c>
      <c r="C66" t="s">
        <v>97</v>
      </c>
      <c r="D66" t="s">
        <v>129</v>
      </c>
      <c r="E66" t="s">
        <v>130</v>
      </c>
      <c r="G66" t="s">
        <v>41</v>
      </c>
      <c r="I66" t="s">
        <v>42</v>
      </c>
      <c r="K66" t="s">
        <v>42</v>
      </c>
      <c r="P66">
        <v>2022874</v>
      </c>
      <c r="Q66" s="1">
        <v>45298</v>
      </c>
      <c r="R66" t="s">
        <v>131</v>
      </c>
      <c r="S66">
        <f>IF(AA66="ΟΛΟΚΛΗΡΩΘΗΚΕ",100%,IFERROR(S66/O66,0%))</f>
        <v>0</v>
      </c>
      <c r="V66">
        <v>590876</v>
      </c>
      <c r="W66">
        <v>603681</v>
      </c>
      <c r="X66">
        <v>828317</v>
      </c>
      <c r="Z66">
        <f>SUM(S66:X66)</f>
        <v>2022874</v>
      </c>
      <c r="AA66" t="b">
        <f>ROUND(Y66,-1)=ROUND(O66,-1)</f>
        <v>1</v>
      </c>
      <c r="AB66" t="s">
        <v>52</v>
      </c>
      <c r="AC66" s="1">
        <v>45726</v>
      </c>
      <c r="AD66" s="1">
        <v>46617</v>
      </c>
      <c r="AE66" t="s">
        <v>57</v>
      </c>
      <c r="AF66" t="s">
        <v>42</v>
      </c>
      <c r="AG66">
        <v>947060</v>
      </c>
      <c r="AH66">
        <v>1196337</v>
      </c>
      <c r="AI66">
        <v>162780</v>
      </c>
      <c r="AK66">
        <f>SUM(AF66:AI66)</f>
        <v>2306177</v>
      </c>
    </row>
    <row r="67" spans="1:37" x14ac:dyDescent="0.25">
      <c r="A67" t="s">
        <v>37</v>
      </c>
      <c r="B67">
        <v>62</v>
      </c>
      <c r="C67" t="s">
        <v>97</v>
      </c>
      <c r="D67" t="s">
        <v>129</v>
      </c>
      <c r="E67" t="s">
        <v>132</v>
      </c>
      <c r="J67" t="s">
        <v>87</v>
      </c>
      <c r="K67" t="s">
        <v>42</v>
      </c>
      <c r="P67">
        <v>3193062</v>
      </c>
      <c r="Q67" s="1">
        <v>45696</v>
      </c>
      <c r="R67" s="1">
        <v>46585</v>
      </c>
      <c r="S67">
        <f>IF(AA67="ΟΛΟΚΛΗΡΩΘΗΚΕ",100%,IFERROR(S67/O67,0%))</f>
        <v>0.15080321021013685</v>
      </c>
      <c r="T67">
        <v>481524</v>
      </c>
      <c r="V67">
        <v>988725</v>
      </c>
      <c r="W67">
        <v>839280</v>
      </c>
      <c r="X67">
        <v>883533</v>
      </c>
      <c r="Z67">
        <f>SUM(S67:X67)</f>
        <v>3193062</v>
      </c>
      <c r="AA67" t="b">
        <f>ROUND(Y67,-1)=ROUND(O67,-1)</f>
        <v>1</v>
      </c>
      <c r="AB67" t="s">
        <v>52</v>
      </c>
      <c r="AE67" t="s">
        <v>75</v>
      </c>
      <c r="AF67" t="s">
        <v>42</v>
      </c>
      <c r="AG67">
        <v>1074255</v>
      </c>
      <c r="AH67">
        <v>804187</v>
      </c>
      <c r="AI67">
        <v>230766</v>
      </c>
      <c r="AK67">
        <f>SUM(AF67:AI67)</f>
        <v>2109208</v>
      </c>
    </row>
    <row r="68" spans="1:37" x14ac:dyDescent="0.25">
      <c r="A68" t="s">
        <v>37</v>
      </c>
      <c r="B68">
        <v>63</v>
      </c>
      <c r="C68" t="s">
        <v>97</v>
      </c>
      <c r="D68" t="s">
        <v>129</v>
      </c>
      <c r="E68" t="s">
        <v>133</v>
      </c>
      <c r="G68" t="s">
        <v>51</v>
      </c>
      <c r="K68" t="s">
        <v>42</v>
      </c>
      <c r="Q68" s="1">
        <v>46090</v>
      </c>
      <c r="R68" s="1">
        <v>46983</v>
      </c>
      <c r="S68">
        <f>IF(AA68="ΟΛΟΚΛΗΡΩΘΗΚΕ",100%,IFERROR(S68/O68,0%))</f>
        <v>0</v>
      </c>
      <c r="Z68">
        <f>SUM(S68:X68)</f>
        <v>0</v>
      </c>
      <c r="AA68" t="b">
        <f>ROUND(Y68,-1)=ROUND(O68,-1)</f>
        <v>0</v>
      </c>
      <c r="AB68" t="s">
        <v>52</v>
      </c>
      <c r="AF68" t="s">
        <v>42</v>
      </c>
      <c r="AG68">
        <v>1383206</v>
      </c>
      <c r="AH68">
        <v>713076</v>
      </c>
      <c r="AI68">
        <v>590405</v>
      </c>
      <c r="AJ68">
        <v>102840</v>
      </c>
      <c r="AK68">
        <f>SUM(AF68:AI68)</f>
        <v>2789527</v>
      </c>
    </row>
    <row r="69" spans="1:37" x14ac:dyDescent="0.25">
      <c r="A69" t="s">
        <v>37</v>
      </c>
      <c r="B69" t="s">
        <v>134</v>
      </c>
      <c r="C69" t="s">
        <v>97</v>
      </c>
      <c r="D69" t="s">
        <v>129</v>
      </c>
      <c r="E69" t="s">
        <v>135</v>
      </c>
      <c r="G69" t="s">
        <v>41</v>
      </c>
      <c r="I69" t="s">
        <v>42</v>
      </c>
      <c r="K69" t="s">
        <v>42</v>
      </c>
      <c r="L69" t="s">
        <v>42</v>
      </c>
      <c r="M69" t="s">
        <v>43</v>
      </c>
      <c r="N69">
        <v>3697153</v>
      </c>
      <c r="O69">
        <v>4319520</v>
      </c>
      <c r="P69">
        <v>3728123</v>
      </c>
      <c r="Q69" s="1">
        <v>45392</v>
      </c>
      <c r="R69" s="1">
        <v>46284</v>
      </c>
      <c r="S69">
        <f>IF(AA69="ΟΛΟΚΛΗΡΩΘΗΚΕ",100%,IFERROR(S69/O69,0%))</f>
        <v>0.42182218773361285</v>
      </c>
      <c r="T69">
        <v>1572605</v>
      </c>
      <c r="V69">
        <v>821030</v>
      </c>
      <c r="W69">
        <v>1334488</v>
      </c>
      <c r="Z69">
        <f>SUM(S69:X69)</f>
        <v>3728123</v>
      </c>
      <c r="AA69" t="b">
        <f>ROUND(Y69,-1)=ROUND(O69,-1)</f>
        <v>1</v>
      </c>
      <c r="AB69" t="s">
        <v>44</v>
      </c>
      <c r="AC69" s="1">
        <v>45821</v>
      </c>
      <c r="AD69" s="1">
        <v>46712</v>
      </c>
      <c r="AE69" t="s">
        <v>64</v>
      </c>
      <c r="AF69" t="s">
        <v>42</v>
      </c>
      <c r="AG69">
        <v>939271</v>
      </c>
      <c r="AH69">
        <v>672957</v>
      </c>
      <c r="AI69">
        <v>772238</v>
      </c>
      <c r="AK69">
        <f>SUM(AF69:AI69)</f>
        <v>2384466</v>
      </c>
    </row>
    <row r="70" spans="1:37" x14ac:dyDescent="0.25">
      <c r="A70" t="s">
        <v>37</v>
      </c>
      <c r="B70">
        <v>65</v>
      </c>
      <c r="C70" t="s">
        <v>97</v>
      </c>
      <c r="D70" t="s">
        <v>129</v>
      </c>
      <c r="E70" t="s">
        <v>136</v>
      </c>
      <c r="G70" t="s">
        <v>56</v>
      </c>
      <c r="K70" t="s">
        <v>42</v>
      </c>
      <c r="L70" t="s">
        <v>42</v>
      </c>
      <c r="P70">
        <v>2302920</v>
      </c>
      <c r="Q70" s="1">
        <v>45788</v>
      </c>
      <c r="R70" s="1">
        <v>46680</v>
      </c>
      <c r="S70">
        <f>IF(AA70="ΟΛΟΚΛΗΡΩΘΗΚΕ",100%,IFERROR(S70/O70,0%))</f>
        <v>1.0000008684626474</v>
      </c>
      <c r="T70">
        <v>2302922</v>
      </c>
      <c r="Z70">
        <f>SUM(S70:X70)</f>
        <v>2302922</v>
      </c>
      <c r="AA70" t="b">
        <f>ROUND(Y70,-1)=ROUND(O70,-1)</f>
        <v>1</v>
      </c>
      <c r="AB70" t="s">
        <v>48</v>
      </c>
      <c r="AE70" t="s">
        <v>45</v>
      </c>
      <c r="AF70" t="s">
        <v>42</v>
      </c>
      <c r="AK70">
        <f>SUM(AF70:AI70)</f>
        <v>0</v>
      </c>
    </row>
    <row r="71" spans="1:37" x14ac:dyDescent="0.25">
      <c r="A71" t="s">
        <v>37</v>
      </c>
      <c r="B71">
        <v>66</v>
      </c>
      <c r="C71" t="s">
        <v>97</v>
      </c>
      <c r="D71" t="s">
        <v>129</v>
      </c>
      <c r="E71" t="s">
        <v>137</v>
      </c>
      <c r="G71" t="s">
        <v>51</v>
      </c>
      <c r="J71" t="s">
        <v>89</v>
      </c>
      <c r="K71" t="s">
        <v>42</v>
      </c>
      <c r="P71">
        <v>3369853</v>
      </c>
      <c r="Q71" s="1">
        <v>46185</v>
      </c>
      <c r="R71" s="1">
        <v>47078</v>
      </c>
      <c r="S71">
        <f>IF(AA71="ΟΛΟΚΛΗΡΩΘΗΚΕ",100%,IFERROR(S71/O71,0%))</f>
        <v>0</v>
      </c>
      <c r="V71">
        <v>1068909</v>
      </c>
      <c r="W71">
        <v>1069283</v>
      </c>
      <c r="X71">
        <v>1117225</v>
      </c>
      <c r="Y71">
        <v>114436</v>
      </c>
      <c r="Z71">
        <f>SUM(S71:X71)</f>
        <v>3369853</v>
      </c>
      <c r="AA71" t="b">
        <f>ROUND(Y71,-1)=ROUND(O71,-1)</f>
        <v>1</v>
      </c>
      <c r="AB71" t="s">
        <v>52</v>
      </c>
      <c r="AF71" t="s">
        <v>42</v>
      </c>
      <c r="AG71">
        <v>218631</v>
      </c>
      <c r="AH71">
        <v>1039369</v>
      </c>
      <c r="AI71">
        <v>319298</v>
      </c>
      <c r="AK71">
        <f>SUM(AF71:AI71)</f>
        <v>1577298</v>
      </c>
    </row>
    <row r="72" spans="1:37" x14ac:dyDescent="0.25">
      <c r="A72" t="s">
        <v>37</v>
      </c>
      <c r="C72" t="s">
        <v>97</v>
      </c>
      <c r="D72" t="s">
        <v>129</v>
      </c>
      <c r="E72" t="s">
        <v>138</v>
      </c>
      <c r="G72" t="s">
        <v>41</v>
      </c>
      <c r="I72" t="s">
        <v>42</v>
      </c>
      <c r="K72" t="s">
        <v>42</v>
      </c>
      <c r="P72">
        <v>1664773</v>
      </c>
      <c r="Q72" s="1">
        <v>45486</v>
      </c>
      <c r="R72" s="1">
        <v>46378</v>
      </c>
      <c r="S72">
        <f>IF(AA72="ΟΛΟΚΛΗΡΩΘΗΚΕ",100%,IFERROR(S72/O72,0%))</f>
        <v>0</v>
      </c>
      <c r="V72">
        <v>315544</v>
      </c>
      <c r="W72">
        <v>276781</v>
      </c>
      <c r="X72">
        <v>1072448</v>
      </c>
      <c r="Z72">
        <f>SUM(S72:X72)</f>
        <v>1664773</v>
      </c>
      <c r="AA72" t="b">
        <f>ROUND(Y72,-1)=ROUND(O72,-1)</f>
        <v>1</v>
      </c>
      <c r="AB72" t="s">
        <v>52</v>
      </c>
      <c r="AC72" s="1">
        <v>45916</v>
      </c>
      <c r="AD72" s="1">
        <v>46442</v>
      </c>
      <c r="AE72" t="s">
        <v>69</v>
      </c>
      <c r="AF72" t="s">
        <v>42</v>
      </c>
      <c r="AG72">
        <v>1255582</v>
      </c>
      <c r="AH72">
        <v>452519</v>
      </c>
      <c r="AI72">
        <v>681179</v>
      </c>
      <c r="AK72">
        <f>SUM(AF72:AI72)</f>
        <v>2389280</v>
      </c>
    </row>
    <row r="73" spans="1:37" x14ac:dyDescent="0.25">
      <c r="A73" t="s">
        <v>37</v>
      </c>
      <c r="B73">
        <v>68</v>
      </c>
      <c r="C73" t="s">
        <v>97</v>
      </c>
      <c r="D73" t="s">
        <v>129</v>
      </c>
      <c r="E73" t="s">
        <v>139</v>
      </c>
      <c r="K73" t="s">
        <v>42</v>
      </c>
      <c r="L73" t="s">
        <v>42</v>
      </c>
      <c r="P73">
        <v>3430039</v>
      </c>
      <c r="Q73" s="1">
        <v>45883</v>
      </c>
      <c r="R73" s="1">
        <v>46410</v>
      </c>
      <c r="S73">
        <f>IF(AA73="ΟΛΟΚΛΗΡΩΘΗΚΕ",100%,IFERROR(S73/O73,0%))</f>
        <v>0.38818100902059716</v>
      </c>
      <c r="T73">
        <v>1331476</v>
      </c>
      <c r="V73">
        <v>1321053</v>
      </c>
      <c r="W73">
        <v>777510</v>
      </c>
      <c r="Z73">
        <f>SUM(S73:X73)</f>
        <v>3430039</v>
      </c>
      <c r="AA73" t="b">
        <f>ROUND(Y73,-1)=ROUND(O73,-1)</f>
        <v>1</v>
      </c>
      <c r="AB73" t="s">
        <v>44</v>
      </c>
      <c r="AE73" t="s">
        <v>54</v>
      </c>
      <c r="AF73" t="s">
        <v>42</v>
      </c>
      <c r="AG73">
        <v>659537</v>
      </c>
      <c r="AH73">
        <v>946083</v>
      </c>
      <c r="AI73">
        <v>677262</v>
      </c>
      <c r="AJ73">
        <v>289136</v>
      </c>
      <c r="AK73">
        <f>SUM(AF73:AI73)</f>
        <v>2572018</v>
      </c>
    </row>
    <row r="74" spans="2:37" x14ac:dyDescent="0.25">
      <c r="B74">
        <v>69</v>
      </c>
      <c r="C74" t="s">
        <v>97</v>
      </c>
      <c r="D74" t="s">
        <v>129</v>
      </c>
      <c r="E74" t="s">
        <v>140</v>
      </c>
      <c r="G74" t="s">
        <v>51</v>
      </c>
      <c r="K74" t="s">
        <v>42</v>
      </c>
      <c r="L74" t="s">
        <v>42</v>
      </c>
      <c r="P74">
        <v>2748161</v>
      </c>
      <c r="Q74" s="1">
        <v>46280</v>
      </c>
      <c r="R74" s="1">
        <v>46807</v>
      </c>
      <c r="S74">
        <f>IF(AA74="ΟΛΟΚΛΗΡΩΘΗΚΕ",100%,IFERROR(S74/O74,0%))</f>
        <v>1</v>
      </c>
      <c r="T74">
        <v>2748161</v>
      </c>
      <c r="Z74">
        <f>SUM(S74:X74)</f>
        <v>2748161</v>
      </c>
      <c r="AA74" t="b">
        <f>ROUND(Y74,-1)=ROUND(O74,-1)</f>
        <v>1</v>
      </c>
      <c r="AB74" t="s">
        <v>48</v>
      </c>
      <c r="AF74" t="s">
        <v>42</v>
      </c>
      <c r="AG74">
        <v>645433</v>
      </c>
      <c r="AH74">
        <v>640380</v>
      </c>
      <c r="AI74">
        <v>295379</v>
      </c>
      <c r="AK74">
        <f>SUM(AF74:AI74)</f>
        <v>1581192</v>
      </c>
    </row>
    <row r="75" spans="1:37" x14ac:dyDescent="0.25">
      <c r="A75" t="s">
        <v>37</v>
      </c>
      <c r="B75">
        <v>70</v>
      </c>
      <c r="C75" t="s">
        <v>97</v>
      </c>
      <c r="D75" t="s">
        <v>129</v>
      </c>
      <c r="E75" t="s">
        <v>141</v>
      </c>
      <c r="G75" t="s">
        <v>41</v>
      </c>
      <c r="I75" t="s">
        <v>42</v>
      </c>
      <c r="J75" t="s">
        <v>96</v>
      </c>
      <c r="K75" t="s">
        <v>42</v>
      </c>
      <c r="P75">
        <v>2526210</v>
      </c>
      <c r="Q75" s="1">
        <v>45581</v>
      </c>
      <c r="R75" s="1">
        <v>46106</v>
      </c>
      <c r="S75">
        <f>IF(AA75="ΟΛΟΚΛΗΡΩΘΗΚΕ",100%,IFERROR(S75/O75,0%))</f>
        <v>0.19488561916863603</v>
      </c>
      <c r="T75">
        <v>492322</v>
      </c>
      <c r="V75">
        <v>283178</v>
      </c>
      <c r="W75">
        <v>1533490</v>
      </c>
      <c r="X75">
        <v>217220</v>
      </c>
      <c r="Z75">
        <f>SUM(S75:X75)</f>
        <v>2526210</v>
      </c>
      <c r="AA75" t="b">
        <f>ROUND(Y75,-1)=ROUND(O75,-1)</f>
        <v>1</v>
      </c>
      <c r="AB75" t="s">
        <v>52</v>
      </c>
      <c r="AC75" s="1">
        <v>46010</v>
      </c>
      <c r="AD75" s="1">
        <v>46534</v>
      </c>
      <c r="AE75" t="s">
        <v>75</v>
      </c>
      <c r="AF75" t="s">
        <v>42</v>
      </c>
      <c r="AK75">
        <f>SUM(AF75:AI75)</f>
        <v>0</v>
      </c>
    </row>
    <row r="76" spans="1:37" x14ac:dyDescent="0.25">
      <c r="A76" t="s">
        <v>37</v>
      </c>
      <c r="B76">
        <v>71</v>
      </c>
      <c r="C76" t="s">
        <v>97</v>
      </c>
      <c r="D76" t="s">
        <v>129</v>
      </c>
      <c r="E76" t="s">
        <v>142</v>
      </c>
      <c r="G76" t="s">
        <v>56</v>
      </c>
      <c r="K76" t="s">
        <v>42</v>
      </c>
      <c r="Q76" s="1">
        <v>45978</v>
      </c>
      <c r="R76" s="1">
        <v>46503</v>
      </c>
      <c r="S76">
        <f>IF(AA76="ΟΛΟΚΛΗΡΩΘΗΚΕ",100%,IFERROR(S76/O76,0%))</f>
        <v>0</v>
      </c>
      <c r="Z76">
        <f>SUM(S76:X76)</f>
        <v>0</v>
      </c>
      <c r="AA76" t="b">
        <f>ROUND(Y76,-1)=ROUND(O76,-1)</f>
        <v>0</v>
      </c>
      <c r="AB76" t="s">
        <v>52</v>
      </c>
      <c r="AE76" t="s">
        <v>62</v>
      </c>
      <c r="AF76" t="s">
        <v>42</v>
      </c>
      <c r="AG76">
        <v>591624</v>
      </c>
      <c r="AH76">
        <v>928249</v>
      </c>
      <c r="AI76">
        <v>273068</v>
      </c>
      <c r="AK76">
        <f>SUM(AF76:AI76)</f>
        <v>1792941</v>
      </c>
    </row>
    <row r="77" spans="1:37" x14ac:dyDescent="0.25">
      <c r="A77" t="s">
        <v>37</v>
      </c>
      <c r="B77">
        <v>72</v>
      </c>
      <c r="C77" t="s">
        <v>97</v>
      </c>
      <c r="D77" t="s">
        <v>129</v>
      </c>
      <c r="E77" t="s">
        <v>99</v>
      </c>
      <c r="G77" t="s">
        <v>51</v>
      </c>
      <c r="K77" t="s">
        <v>42</v>
      </c>
      <c r="P77">
        <v>1712714</v>
      </c>
      <c r="Q77" s="1">
        <v>46374</v>
      </c>
      <c r="R77" s="1">
        <v>46900</v>
      </c>
      <c r="S77">
        <f>IF(AA77="ΟΛΟΚΛΗΡΩΘΗΚΕ",100%,IFERROR(S77/O77,0%))</f>
        <v>0</v>
      </c>
      <c r="V77">
        <v>926886</v>
      </c>
      <c r="W77">
        <v>299007</v>
      </c>
      <c r="X77">
        <v>308675</v>
      </c>
      <c r="Y77">
        <v>178146</v>
      </c>
      <c r="Z77">
        <f>SUM(S77:X77)</f>
        <v>1712714</v>
      </c>
      <c r="AA77" t="b">
        <f>ROUND(Y77,-1)=ROUND(O77,-1)</f>
        <v>1</v>
      </c>
      <c r="AB77" t="s">
        <v>52</v>
      </c>
      <c r="AF77" t="s">
        <v>42</v>
      </c>
      <c r="AG77">
        <v>846625</v>
      </c>
      <c r="AH77" t="s">
        <v>119</v>
      </c>
      <c r="AI77">
        <v>734988</v>
      </c>
      <c r="AK77">
        <f>SUM(AF77:AI77)</f>
        <v>1581613</v>
      </c>
    </row>
    <row r="78" spans="1:37" x14ac:dyDescent="0.25">
      <c r="A78" t="s">
        <v>37</v>
      </c>
      <c r="B78">
        <v>73</v>
      </c>
      <c r="C78" t="s">
        <v>143</v>
      </c>
      <c r="D78" t="s">
        <v>143</v>
      </c>
      <c r="E78" t="s">
        <v>106</v>
      </c>
      <c r="I78" t="s">
        <v>42</v>
      </c>
      <c r="K78" t="s">
        <v>42</v>
      </c>
      <c r="M78" t="s">
        <v>43</v>
      </c>
      <c r="N78">
        <v>4581614</v>
      </c>
      <c r="O78">
        <v>5794318</v>
      </c>
      <c r="P78">
        <v>4619992</v>
      </c>
      <c r="Q78" s="1">
        <v>45310</v>
      </c>
      <c r="R78" s="1">
        <v>46174</v>
      </c>
      <c r="S78">
        <f>IF(AA78="ΟΛΟΚΛΗΡΩΘΗΚΕ",100%,IFERROR(S78/O78,0%))</f>
        <v>0.4882387242228991</v>
      </c>
      <c r="T78">
        <v>2255659</v>
      </c>
      <c r="V78">
        <v>1374620</v>
      </c>
      <c r="W78">
        <v>989713</v>
      </c>
      <c r="Z78">
        <f>SUM(S78:X78)</f>
        <v>4619992</v>
      </c>
      <c r="AA78" t="b">
        <f>ROUND(Y78,-1)=ROUND(O78,-1)</f>
        <v>1</v>
      </c>
      <c r="AB78" t="s">
        <v>44</v>
      </c>
      <c r="AC78" s="1">
        <v>45738</v>
      </c>
      <c r="AD78" s="1">
        <v>46602</v>
      </c>
      <c r="AE78" t="s">
        <v>45</v>
      </c>
      <c r="AF78" t="s">
        <v>42</v>
      </c>
      <c r="AG78">
        <v>1240846</v>
      </c>
      <c r="AH78">
        <v>412070</v>
      </c>
      <c r="AI78">
        <v>484376</v>
      </c>
      <c r="AJ78">
        <v>159905</v>
      </c>
      <c r="AK78">
        <f>SUM(AF78:AI78)</f>
        <v>2297197</v>
      </c>
    </row>
    <row r="79" spans="1:37" x14ac:dyDescent="0.25">
      <c r="A79" t="s">
        <v>37</v>
      </c>
      <c r="B79">
        <v>74</v>
      </c>
      <c r="C79" t="s">
        <v>143</v>
      </c>
      <c r="D79" t="s">
        <v>143</v>
      </c>
      <c r="E79" t="s">
        <v>107</v>
      </c>
      <c r="G79" t="s">
        <v>56</v>
      </c>
      <c r="J79" t="s">
        <v>47</v>
      </c>
      <c r="K79" t="s">
        <v>42</v>
      </c>
      <c r="L79" t="s">
        <v>42</v>
      </c>
      <c r="P79">
        <v>3536633</v>
      </c>
      <c r="Q79" s="1">
        <v>45708</v>
      </c>
      <c r="R79" s="1">
        <v>46570</v>
      </c>
      <c r="S79">
        <f>IF(AA79="ΟΛΟΚΛΗΡΩΘΗΚΕ",100%,IFERROR(S79/O79,0%))</f>
        <v>1</v>
      </c>
      <c r="T79">
        <v>3536633</v>
      </c>
      <c r="Z79">
        <f>SUM(S79:X79)</f>
        <v>3536633</v>
      </c>
      <c r="AA79" t="b">
        <f>ROUND(Y79,-1)=ROUND(O79,-1)</f>
        <v>1</v>
      </c>
      <c r="AB79" t="s">
        <v>48</v>
      </c>
      <c r="AE79" t="s">
        <v>49</v>
      </c>
      <c r="AF79" t="s">
        <v>42</v>
      </c>
      <c r="AG79">
        <v>466872</v>
      </c>
      <c r="AH79">
        <v>1092841</v>
      </c>
      <c r="AI79">
        <v>416693</v>
      </c>
      <c r="AK79">
        <f>SUM(AF79:AI79)</f>
        <v>1976406</v>
      </c>
    </row>
    <row r="80" spans="1:37" x14ac:dyDescent="0.25">
      <c r="A80" t="s">
        <v>37</v>
      </c>
      <c r="B80">
        <v>75</v>
      </c>
      <c r="C80" t="s">
        <v>143</v>
      </c>
      <c r="D80" t="s">
        <v>143</v>
      </c>
      <c r="E80" t="s">
        <v>108</v>
      </c>
      <c r="G80" t="s">
        <v>51</v>
      </c>
      <c r="K80" t="s">
        <v>42</v>
      </c>
      <c r="P80">
        <v>3082388</v>
      </c>
      <c r="Q80" s="1">
        <v>46102</v>
      </c>
      <c r="R80" s="1">
        <v>46968</v>
      </c>
      <c r="S80">
        <f>IF(AA80="ΟΛΟΚΛΗΡΩΘΗΚΕ",100%,IFERROR(S80/O80,0%))</f>
        <v>0</v>
      </c>
      <c r="V80">
        <v>891909</v>
      </c>
      <c r="W80">
        <v>1285435</v>
      </c>
      <c r="X80">
        <v>905044</v>
      </c>
      <c r="Z80">
        <f>SUM(S80:X80)</f>
        <v>3082388</v>
      </c>
      <c r="AA80" t="b">
        <f>ROUND(Y80,-1)=ROUND(O80,-1)</f>
        <v>1</v>
      </c>
      <c r="AB80" t="s">
        <v>52</v>
      </c>
      <c r="AF80" t="s">
        <v>42</v>
      </c>
      <c r="AK80">
        <f>SUM(AF80:AI80)</f>
        <v>0</v>
      </c>
    </row>
    <row r="81" spans="1:37" x14ac:dyDescent="0.25">
      <c r="A81" t="s">
        <v>37</v>
      </c>
      <c r="B81">
        <v>76</v>
      </c>
      <c r="C81" t="s">
        <v>143</v>
      </c>
      <c r="D81" t="s">
        <v>143</v>
      </c>
      <c r="E81" t="s">
        <v>109</v>
      </c>
      <c r="G81" t="s">
        <v>41</v>
      </c>
      <c r="I81" t="s">
        <v>42</v>
      </c>
      <c r="K81" t="s">
        <v>42</v>
      </c>
      <c r="P81">
        <v>3433381</v>
      </c>
      <c r="Q81" s="1">
        <v>45404</v>
      </c>
      <c r="R81" s="1">
        <v>46269</v>
      </c>
      <c r="S81">
        <f>IF(AA81="ΟΛΟΚΛΗΡΩΘΗΚΕ",100%,IFERROR(S81/O81,0%))</f>
        <v>0.0342936015548522</v>
      </c>
      <c r="T81">
        <v>117743</v>
      </c>
      <c r="V81">
        <v>973875</v>
      </c>
      <c r="W81">
        <v>1319438</v>
      </c>
      <c r="X81">
        <v>1022325</v>
      </c>
      <c r="Z81">
        <f>SUM(S81:X81)</f>
        <v>3433381</v>
      </c>
      <c r="AA81" t="b">
        <f>ROUND(Y81,-1)=ROUND(O81,-1)</f>
        <v>1</v>
      </c>
      <c r="AB81" t="s">
        <v>52</v>
      </c>
      <c r="AC81" s="1">
        <v>45833</v>
      </c>
      <c r="AD81" s="1">
        <v>46697</v>
      </c>
      <c r="AE81" t="s">
        <v>54</v>
      </c>
      <c r="AF81" t="s">
        <v>42</v>
      </c>
      <c r="AG81">
        <v>803029</v>
      </c>
      <c r="AH81">
        <v>1075430</v>
      </c>
      <c r="AI81">
        <v>376423</v>
      </c>
      <c r="AK81">
        <f>SUM(AF81:AI81)</f>
        <v>2254882</v>
      </c>
    </row>
    <row r="82" spans="1:37" x14ac:dyDescent="0.25">
      <c r="A82" t="s">
        <v>37</v>
      </c>
      <c r="B82">
        <v>77</v>
      </c>
      <c r="C82" t="s">
        <v>143</v>
      </c>
      <c r="D82" t="s">
        <v>143</v>
      </c>
      <c r="E82" t="s">
        <v>111</v>
      </c>
      <c r="G82" t="s">
        <v>56</v>
      </c>
      <c r="K82" t="s">
        <v>42</v>
      </c>
      <c r="M82" t="s">
        <v>43</v>
      </c>
      <c r="N82">
        <v>5271047</v>
      </c>
      <c r="O82">
        <v>4918547</v>
      </c>
      <c r="P82">
        <v>5315200</v>
      </c>
      <c r="Q82" s="1">
        <v>45800</v>
      </c>
      <c r="R82" s="1">
        <v>46665</v>
      </c>
      <c r="S82">
        <f>IF(AA82="ΟΛΟΚΛΗΡΩΘΗΚΕ",100%,IFERROR(S82/O82,0%))</f>
        <v>0.41374793046357616</v>
      </c>
      <c r="T82">
        <v>2199153</v>
      </c>
      <c r="V82">
        <v>1800032</v>
      </c>
      <c r="W82">
        <v>1316015</v>
      </c>
      <c r="Z82">
        <f>SUM(S82:X82)</f>
        <v>5315200</v>
      </c>
      <c r="AA82" t="b">
        <f>ROUND(Y82,-1)=ROUND(O82,-1)</f>
        <v>1</v>
      </c>
      <c r="AB82" t="s">
        <v>44</v>
      </c>
      <c r="AE82" t="s">
        <v>57</v>
      </c>
      <c r="AF82" t="s">
        <v>42</v>
      </c>
      <c r="AG82">
        <v>1464341</v>
      </c>
      <c r="AH82">
        <v>847906</v>
      </c>
      <c r="AI82">
        <v>496251</v>
      </c>
      <c r="AK82">
        <f>SUM(AF82:AI82)</f>
        <v>2808498</v>
      </c>
    </row>
    <row r="83" spans="1:37" x14ac:dyDescent="0.25">
      <c r="A83" t="s">
        <v>37</v>
      </c>
      <c r="B83">
        <v>78</v>
      </c>
      <c r="C83" t="s">
        <v>143</v>
      </c>
      <c r="D83" t="s">
        <v>143</v>
      </c>
      <c r="E83" t="s">
        <v>112</v>
      </c>
      <c r="G83" t="s">
        <v>51</v>
      </c>
      <c r="J83" t="s">
        <v>60</v>
      </c>
      <c r="K83" t="s">
        <v>42</v>
      </c>
      <c r="Q83" s="1">
        <v>46197</v>
      </c>
      <c r="R83" s="1">
        <v>47063</v>
      </c>
      <c r="S83">
        <f>IF(AA83="ΟΛΟΚΛΗΡΩΘΗΚΕ",100%,IFERROR(S83/O83,0%))</f>
        <v>0</v>
      </c>
      <c r="Z83">
        <f>SUM(S83:X83)</f>
        <v>0</v>
      </c>
      <c r="AA83" t="b">
        <f>ROUND(Y83,-1)=ROUND(O83,-1)</f>
        <v>0</v>
      </c>
      <c r="AB83" t="s">
        <v>52</v>
      </c>
      <c r="AF83" t="s">
        <v>42</v>
      </c>
      <c r="AG83">
        <v>412002</v>
      </c>
      <c r="AH83">
        <v>183753</v>
      </c>
      <c r="AI83">
        <v>517700</v>
      </c>
      <c r="AJ83">
        <v>157732</v>
      </c>
      <c r="AK83">
        <f>SUM(AF83:AI83)</f>
        <v>1271187</v>
      </c>
    </row>
    <row r="84" spans="1:37" x14ac:dyDescent="0.25">
      <c r="A84" t="s">
        <v>37</v>
      </c>
      <c r="B84">
        <v>79</v>
      </c>
      <c r="C84" t="s">
        <v>143</v>
      </c>
      <c r="D84" t="s">
        <v>143</v>
      </c>
      <c r="E84" t="s">
        <v>144</v>
      </c>
      <c r="I84" t="s">
        <v>42</v>
      </c>
      <c r="K84" t="s">
        <v>42</v>
      </c>
      <c r="L84" t="s">
        <v>42</v>
      </c>
      <c r="P84">
        <v>2890346</v>
      </c>
      <c r="Q84" s="1">
        <v>45498</v>
      </c>
      <c r="R84" s="1">
        <v>46363</v>
      </c>
      <c r="S84">
        <f>IF(AA84="ΟΛΟΚΛΗΡΩΘΗΚΕ",100%,IFERROR(S84/O84,0%))</f>
        <v>1</v>
      </c>
      <c r="T84">
        <v>2890346</v>
      </c>
      <c r="Z84">
        <f>SUM(S84:X84)</f>
        <v>2890346</v>
      </c>
      <c r="AA84" t="b">
        <f>ROUND(Y84,-1)=ROUND(O84,-1)</f>
        <v>1</v>
      </c>
      <c r="AB84" t="s">
        <v>48</v>
      </c>
      <c r="AC84" s="1">
        <v>45901</v>
      </c>
      <c r="AD84" s="1">
        <v>46427</v>
      </c>
      <c r="AE84" t="s">
        <v>62</v>
      </c>
      <c r="AG84">
        <v>898871</v>
      </c>
      <c r="AH84">
        <v>405181</v>
      </c>
      <c r="AI84">
        <v>533835</v>
      </c>
      <c r="AK84">
        <f>SUM(AF84:AI84)</f>
        <v>1837887</v>
      </c>
    </row>
    <row r="85" spans="2:37" x14ac:dyDescent="0.25">
      <c r="B85">
        <v>80</v>
      </c>
      <c r="C85" t="s">
        <v>143</v>
      </c>
      <c r="D85" t="s">
        <v>143</v>
      </c>
      <c r="E85" t="s">
        <v>145</v>
      </c>
      <c r="G85" t="s">
        <v>56</v>
      </c>
      <c r="K85" t="s">
        <v>42</v>
      </c>
      <c r="P85">
        <v>2752002</v>
      </c>
      <c r="Q85" s="1">
        <v>45895</v>
      </c>
      <c r="R85" s="1">
        <v>46395</v>
      </c>
      <c r="S85">
        <f>IF(AA85="ΟΛΟΚΛΗΡΩΘΗΚΕ",100%,IFERROR(S85/O85,0%))</f>
        <v>0</v>
      </c>
      <c r="V85">
        <v>177763</v>
      </c>
      <c r="W85">
        <v>1154508</v>
      </c>
      <c r="X85">
        <v>1251815</v>
      </c>
      <c r="Y85">
        <v>167916</v>
      </c>
      <c r="Z85">
        <f>SUM(S85:X85)</f>
        <v>2752002</v>
      </c>
      <c r="AA85" t="b">
        <f>ROUND(Y85,-1)=ROUND(O85,-1)</f>
        <v>1</v>
      </c>
      <c r="AB85" t="s">
        <v>52</v>
      </c>
      <c r="AE85" t="s">
        <v>64</v>
      </c>
      <c r="AK85">
        <f>SUM(AF85:AI85)</f>
        <v>0</v>
      </c>
    </row>
    <row r="86" spans="1:37" x14ac:dyDescent="0.25">
      <c r="A86" t="s">
        <v>37</v>
      </c>
      <c r="B86">
        <v>81</v>
      </c>
      <c r="C86" t="s">
        <v>143</v>
      </c>
      <c r="D86" t="s">
        <v>143</v>
      </c>
      <c r="E86" t="s">
        <v>146</v>
      </c>
      <c r="G86" t="s">
        <v>51</v>
      </c>
      <c r="K86" t="s">
        <v>42</v>
      </c>
      <c r="P86">
        <v>2439943</v>
      </c>
      <c r="Q86" s="1">
        <v>46292</v>
      </c>
      <c r="R86" s="1">
        <v>46792</v>
      </c>
      <c r="S86">
        <f>IF(AA86="ΟΛΟΚΛΗΡΩΘΗΚΕ",100%,IFERROR(S86/O86,0%))</f>
        <v>0</v>
      </c>
      <c r="V86">
        <v>445846</v>
      </c>
      <c r="W86">
        <v>1280218</v>
      </c>
      <c r="X86">
        <v>713879</v>
      </c>
      <c r="Z86">
        <f>SUM(S86:X86)</f>
        <v>2439943</v>
      </c>
      <c r="AA86" t="b">
        <f>ROUND(Y86,-1)=ROUND(O86,-1)</f>
        <v>1</v>
      </c>
      <c r="AB86" t="s">
        <v>52</v>
      </c>
      <c r="AG86">
        <v>560898</v>
      </c>
      <c r="AH86">
        <v>435734</v>
      </c>
      <c r="AI86">
        <v>411684</v>
      </c>
      <c r="AK86">
        <f>SUM(AF86:AI86)</f>
        <v>1408316</v>
      </c>
    </row>
    <row r="87" spans="1:37" x14ac:dyDescent="0.25">
      <c r="A87" t="s">
        <v>37</v>
      </c>
      <c r="B87" t="s">
        <v>147</v>
      </c>
      <c r="C87" t="s">
        <v>143</v>
      </c>
      <c r="D87" t="s">
        <v>143</v>
      </c>
      <c r="E87" t="s">
        <v>148</v>
      </c>
      <c r="G87" t="s">
        <v>41</v>
      </c>
      <c r="I87" t="s">
        <v>42</v>
      </c>
      <c r="J87" t="s">
        <v>67</v>
      </c>
      <c r="K87" t="s">
        <v>42</v>
      </c>
      <c r="P87">
        <v>2935566</v>
      </c>
      <c r="Q87" s="1">
        <v>45566</v>
      </c>
      <c r="R87" s="1">
        <v>46091</v>
      </c>
      <c r="S87">
        <f>IF(AA87="ΟΛΟΚΛΗΡΩΘΗΚΕ",100%,IFERROR(S87/O87,0%))</f>
        <v>0.565871113100506</v>
      </c>
      <c r="T87">
        <v>1661152</v>
      </c>
      <c r="V87">
        <v>970619</v>
      </c>
      <c r="W87">
        <v>303795</v>
      </c>
      <c r="Z87">
        <f>SUM(S87:X87)</f>
        <v>2935566</v>
      </c>
      <c r="AA87" t="b">
        <f>ROUND(Y87,-1)=ROUND(O87,-1)</f>
        <v>1</v>
      </c>
      <c r="AB87" t="s">
        <v>44</v>
      </c>
      <c r="AC87" s="1">
        <v>45995</v>
      </c>
      <c r="AD87" s="1">
        <v>46519</v>
      </c>
      <c r="AE87" t="s">
        <v>49</v>
      </c>
      <c r="AG87">
        <v>499058</v>
      </c>
      <c r="AH87">
        <v>1204892</v>
      </c>
      <c r="AI87">
        <v>107095</v>
      </c>
      <c r="AK87">
        <f>SUM(AF87:AI87)</f>
        <v>1811045</v>
      </c>
    </row>
    <row r="88" spans="1:37" x14ac:dyDescent="0.25">
      <c r="A88" t="s">
        <v>37</v>
      </c>
      <c r="B88">
        <v>83</v>
      </c>
      <c r="C88" t="s">
        <v>143</v>
      </c>
      <c r="D88" t="s">
        <v>143</v>
      </c>
      <c r="E88" t="s">
        <v>149</v>
      </c>
      <c r="G88" t="s">
        <v>56</v>
      </c>
      <c r="K88" t="s">
        <v>42</v>
      </c>
      <c r="L88" t="s">
        <v>42</v>
      </c>
      <c r="M88" t="s">
        <v>43</v>
      </c>
      <c r="N88">
        <v>3821678</v>
      </c>
      <c r="O88">
        <v>4919100</v>
      </c>
      <c r="P88">
        <v>3853691</v>
      </c>
      <c r="Q88" s="1">
        <v>45963</v>
      </c>
      <c r="R88" s="1">
        <v>46488</v>
      </c>
      <c r="S88">
        <f>IF(AA88="ΟΛΟΚΛΗΡΩΘΗΚΕ",100%,IFERROR(S88/O88,0%))</f>
        <v>1</v>
      </c>
      <c r="T88">
        <v>3853691</v>
      </c>
      <c r="Z88">
        <f>SUM(S88:X88)</f>
        <v>3853691</v>
      </c>
      <c r="AA88" t="b">
        <f>ROUND(Y88,-1)=ROUND(O88,-1)</f>
        <v>1</v>
      </c>
      <c r="AB88" t="s">
        <v>48</v>
      </c>
      <c r="AE88" t="s">
        <v>69</v>
      </c>
      <c r="AG88">
        <v>1320853</v>
      </c>
      <c r="AH88">
        <v>1050053</v>
      </c>
      <c r="AI88">
        <v>582901</v>
      </c>
      <c r="AJ88">
        <v>195928</v>
      </c>
      <c r="AK88">
        <f>SUM(AF88:AI88)</f>
        <v>3149735</v>
      </c>
    </row>
    <row r="89" spans="1:37" x14ac:dyDescent="0.25">
      <c r="A89" t="s">
        <v>37</v>
      </c>
      <c r="B89">
        <v>84</v>
      </c>
      <c r="C89" t="s">
        <v>38</v>
      </c>
      <c r="D89" t="s">
        <v>150</v>
      </c>
      <c r="E89" t="s">
        <v>151</v>
      </c>
      <c r="K89" t="s">
        <v>42</v>
      </c>
      <c r="P89">
        <v>2792826</v>
      </c>
      <c r="Q89" s="1">
        <v>46359</v>
      </c>
      <c r="R89" s="1">
        <v>46885</v>
      </c>
      <c r="S89">
        <f>IF(AA89="ΟΛΟΚΛΗΡΩΘΗΚΕ",100%,IFERROR(S89/O89,0%))</f>
        <v>0.11231634194181807</v>
      </c>
      <c r="T89">
        <v>313680</v>
      </c>
      <c r="V89">
        <v>759343</v>
      </c>
      <c r="W89">
        <v>766013</v>
      </c>
      <c r="X89">
        <v>953790</v>
      </c>
      <c r="Z89">
        <f>SUM(S89:X89)</f>
        <v>2792826</v>
      </c>
      <c r="AA89" t="b">
        <f>ROUND(Y89,-1)=ROUND(O89,-1)</f>
        <v>1</v>
      </c>
      <c r="AB89" t="s">
        <v>52</v>
      </c>
      <c r="AG89">
        <v>809399</v>
      </c>
      <c r="AH89">
        <v>978672</v>
      </c>
      <c r="AI89">
        <v>629972</v>
      </c>
      <c r="AK89">
        <f>SUM(AF89:AI89)</f>
        <v>2418043</v>
      </c>
    </row>
    <row r="90" spans="1:37" x14ac:dyDescent="0.25">
      <c r="A90" t="s">
        <v>37</v>
      </c>
      <c r="B90">
        <v>85</v>
      </c>
      <c r="C90" t="s">
        <v>38</v>
      </c>
      <c r="D90" t="s">
        <v>150</v>
      </c>
      <c r="E90" t="s">
        <v>152</v>
      </c>
      <c r="G90" t="s">
        <v>41</v>
      </c>
      <c r="I90" t="s">
        <v>42</v>
      </c>
      <c r="K90" t="s">
        <v>42</v>
      </c>
      <c r="Q90" s="1">
        <v>45295</v>
      </c>
      <c r="R90" s="1">
        <v>46186</v>
      </c>
      <c r="S90">
        <f>IF(AA90="ΟΛΟΚΛΗΡΩΘΗΚΕ",100%,IFERROR(S90/O90,0%))</f>
        <v>0</v>
      </c>
      <c r="Z90">
        <f>SUM(S90:X90)</f>
        <v>0</v>
      </c>
      <c r="AA90" t="b">
        <f>ROUND(Y90,-1)=ROUND(O90,-1)</f>
        <v>0</v>
      </c>
      <c r="AB90" t="s">
        <v>52</v>
      </c>
      <c r="AC90" s="1">
        <v>45723</v>
      </c>
      <c r="AD90" s="1">
        <v>46614</v>
      </c>
      <c r="AE90" t="s">
        <v>57</v>
      </c>
      <c r="AK90">
        <f>SUM(AF90:AI90)</f>
        <v>0</v>
      </c>
    </row>
    <row r="91" spans="1:37" x14ac:dyDescent="0.25">
      <c r="A91" t="s">
        <v>37</v>
      </c>
      <c r="B91">
        <v>86</v>
      </c>
      <c r="C91" t="s">
        <v>38</v>
      </c>
      <c r="D91" t="s">
        <v>150</v>
      </c>
      <c r="E91" t="s">
        <v>153</v>
      </c>
      <c r="G91" t="s">
        <v>56</v>
      </c>
      <c r="J91" t="s">
        <v>74</v>
      </c>
      <c r="K91" t="s">
        <v>42</v>
      </c>
      <c r="P91">
        <v>2529687</v>
      </c>
      <c r="Q91" s="1">
        <v>45693</v>
      </c>
      <c r="R91" s="1">
        <v>46582</v>
      </c>
      <c r="S91">
        <f>IF(AA91="ΟΛΟΚΛΗΡΩΘΗΚΕ",100%,IFERROR(S91/O91,0%))</f>
        <v>0</v>
      </c>
      <c r="V91">
        <v>664829</v>
      </c>
      <c r="W91">
        <v>595601</v>
      </c>
      <c r="X91">
        <v>1147226</v>
      </c>
      <c r="Y91">
        <v>122031</v>
      </c>
      <c r="Z91">
        <f>SUM(S91:X91)</f>
        <v>2529687</v>
      </c>
      <c r="AA91" t="b">
        <f>ROUND(Y91,-1)=ROUND(O91,-1)</f>
        <v>1</v>
      </c>
      <c r="AB91" t="s">
        <v>52</v>
      </c>
      <c r="AE91" t="s">
        <v>75</v>
      </c>
      <c r="AG91">
        <v>872645</v>
      </c>
      <c r="AH91">
        <v>785728</v>
      </c>
      <c r="AI91">
        <v>395010</v>
      </c>
      <c r="AK91">
        <f>SUM(AF91:AI91)</f>
        <v>2053383</v>
      </c>
    </row>
    <row r="92" spans="1:37" x14ac:dyDescent="0.25">
      <c r="A92" t="s">
        <v>37</v>
      </c>
      <c r="B92">
        <v>87</v>
      </c>
      <c r="C92" t="s">
        <v>38</v>
      </c>
      <c r="D92" t="s">
        <v>150</v>
      </c>
      <c r="E92" t="s">
        <v>154</v>
      </c>
      <c r="G92" t="s">
        <v>51</v>
      </c>
      <c r="K92" t="s">
        <v>42</v>
      </c>
      <c r="M92" t="s">
        <v>43</v>
      </c>
      <c r="N92">
        <v>5267917</v>
      </c>
      <c r="O92">
        <v>6178029</v>
      </c>
      <c r="P92">
        <v>5312044</v>
      </c>
      <c r="Q92" s="1">
        <v>46087</v>
      </c>
      <c r="R92" s="1">
        <v>46980</v>
      </c>
      <c r="S92">
        <f>IF(AA92="ΟΛΟΚΛΗΡΩΘΗΚΕ",100%,IFERROR(S92/O92,0%))</f>
        <v>0.48884421891083735</v>
      </c>
      <c r="T92">
        <v>2596762</v>
      </c>
      <c r="V92">
        <v>2015185</v>
      </c>
      <c r="W92">
        <v>700097</v>
      </c>
      <c r="Z92">
        <f>SUM(S92:X92)</f>
        <v>5312044</v>
      </c>
      <c r="AA92" t="b">
        <f>ROUND(Y92,-1)=ROUND(O92,-1)</f>
        <v>1</v>
      </c>
      <c r="AB92" t="s">
        <v>44</v>
      </c>
      <c r="AG92">
        <v>736116</v>
      </c>
      <c r="AH92">
        <v>183259</v>
      </c>
      <c r="AI92">
        <v>535193</v>
      </c>
      <c r="AK92">
        <f>SUM(AF92:AI92)</f>
        <v>1454568</v>
      </c>
    </row>
    <row r="93" spans="1:37" x14ac:dyDescent="0.25">
      <c r="A93" t="s">
        <v>37</v>
      </c>
      <c r="B93">
        <v>88</v>
      </c>
      <c r="C93" t="s">
        <v>38</v>
      </c>
      <c r="D93" t="s">
        <v>150</v>
      </c>
      <c r="E93" t="s">
        <v>155</v>
      </c>
      <c r="G93" t="s">
        <v>41</v>
      </c>
      <c r="I93" t="s">
        <v>42</v>
      </c>
      <c r="K93" t="s">
        <v>42</v>
      </c>
      <c r="L93" t="s">
        <v>42</v>
      </c>
      <c r="M93" t="s">
        <v>43</v>
      </c>
      <c r="N93">
        <v>3748968</v>
      </c>
      <c r="O93">
        <v>3545805</v>
      </c>
      <c r="P93">
        <v>3780372</v>
      </c>
      <c r="Q93" s="1">
        <v>45389</v>
      </c>
      <c r="R93" s="1">
        <v>46281</v>
      </c>
      <c r="S93">
        <f>IF(AA93="ΟΛΟΚΛΗΡΩΘΗΚΕ",100%,IFERROR(S93/O93,0%))</f>
        <v>1.000000264524232</v>
      </c>
      <c r="T93">
        <v>3780373</v>
      </c>
      <c r="Z93">
        <f>SUM(S93:X93)</f>
        <v>3780373</v>
      </c>
      <c r="AA93" t="b">
        <f>ROUND(Y93,-1)=ROUND(O93,-1)</f>
        <v>1</v>
      </c>
      <c r="AB93" t="s">
        <v>48</v>
      </c>
      <c r="AC93" s="1">
        <v>45818</v>
      </c>
      <c r="AD93" s="1">
        <v>46709</v>
      </c>
      <c r="AE93" t="s">
        <v>64</v>
      </c>
      <c r="AG93">
        <v>1028861</v>
      </c>
      <c r="AH93">
        <v>379083</v>
      </c>
      <c r="AI93">
        <v>450191</v>
      </c>
      <c r="AJ93">
        <v>72015</v>
      </c>
      <c r="AK93">
        <f>SUM(AF93:AI93)</f>
        <v>1930150</v>
      </c>
    </row>
    <row r="94" spans="1:37" x14ac:dyDescent="0.25">
      <c r="A94" t="s">
        <v>37</v>
      </c>
      <c r="B94">
        <v>89</v>
      </c>
      <c r="C94" t="s">
        <v>38</v>
      </c>
      <c r="D94" t="s">
        <v>150</v>
      </c>
      <c r="E94" t="s">
        <v>156</v>
      </c>
      <c r="G94" t="s">
        <v>56</v>
      </c>
      <c r="K94" t="s">
        <v>42</v>
      </c>
      <c r="P94">
        <v>3010294</v>
      </c>
      <c r="Q94" s="1">
        <v>45785</v>
      </c>
      <c r="R94" s="1">
        <v>46677</v>
      </c>
      <c r="S94">
        <f>IF(AA94="ΟΛΟΚΛΗΡΩΘΗΚΕ",100%,IFERROR(S94/O94,0%))</f>
        <v>0</v>
      </c>
      <c r="V94">
        <v>1000245</v>
      </c>
      <c r="W94">
        <v>1086726</v>
      </c>
      <c r="X94">
        <v>923323</v>
      </c>
      <c r="Z94">
        <f>SUM(S94:X94)</f>
        <v>3010294</v>
      </c>
      <c r="AA94" t="b">
        <f>ROUND(Y94,-1)=ROUND(O94,-1)</f>
        <v>1</v>
      </c>
      <c r="AB94" t="s">
        <v>52</v>
      </c>
      <c r="AC94" t="s">
        <v>157</v>
      </c>
      <c r="AE94" t="s">
        <v>45</v>
      </c>
      <c r="AG94">
        <v>1442023</v>
      </c>
      <c r="AH94">
        <v>975585</v>
      </c>
      <c r="AI94">
        <v>794676</v>
      </c>
      <c r="AK94">
        <f>SUM(AF94:AI94)</f>
        <v>3212284</v>
      </c>
    </row>
    <row r="95" spans="1:37" x14ac:dyDescent="0.25">
      <c r="A95" t="s">
        <v>37</v>
      </c>
      <c r="B95">
        <v>90</v>
      </c>
      <c r="C95" t="s">
        <v>38</v>
      </c>
      <c r="D95" t="s">
        <v>150</v>
      </c>
      <c r="E95" t="s">
        <v>115</v>
      </c>
      <c r="J95" t="s">
        <v>81</v>
      </c>
      <c r="K95" t="s">
        <v>42</v>
      </c>
      <c r="P95">
        <v>3132462</v>
      </c>
      <c r="Q95" s="1">
        <v>46182</v>
      </c>
      <c r="R95" s="1">
        <v>47075</v>
      </c>
      <c r="S95">
        <f>IF(AA95="ΟΛΟΚΛΗΡΩΘΗΚΕ",100%,IFERROR(S95/O95,0%))</f>
        <v>0.1658235598707981</v>
      </c>
      <c r="T95">
        <v>519436</v>
      </c>
      <c r="V95">
        <v>637772</v>
      </c>
      <c r="W95">
        <v>828560</v>
      </c>
      <c r="X95">
        <v>1146694</v>
      </c>
      <c r="Z95">
        <f>SUM(S95:X95)</f>
        <v>3132462</v>
      </c>
      <c r="AA95" t="b">
        <f>ROUND(Y95,-1)=ROUND(O95,-1)</f>
        <v>1</v>
      </c>
      <c r="AB95" t="s">
        <v>52</v>
      </c>
      <c r="AK95">
        <f>SUM(AF95:AI95)</f>
        <v>0</v>
      </c>
    </row>
    <row r="96" spans="2:37" x14ac:dyDescent="0.25">
      <c r="B96">
        <v>91</v>
      </c>
      <c r="C96" t="s">
        <v>38</v>
      </c>
      <c r="D96" t="s">
        <v>150</v>
      </c>
      <c r="E96" t="s">
        <v>116</v>
      </c>
      <c r="G96" t="s">
        <v>41</v>
      </c>
      <c r="I96" t="s">
        <v>42</v>
      </c>
      <c r="K96" t="s">
        <v>42</v>
      </c>
      <c r="P96">
        <v>3585172</v>
      </c>
      <c r="Q96" s="1">
        <v>45483</v>
      </c>
      <c r="R96" s="1">
        <v>46375</v>
      </c>
      <c r="S96">
        <f>IF(AA96="ΟΛΟΚΛΗΡΩΘΗΚΕ",100%,IFERROR(S96/O96,0%))</f>
        <v>0.46221994370144587</v>
      </c>
      <c r="T96">
        <v>1657138</v>
      </c>
      <c r="V96">
        <v>935949</v>
      </c>
      <c r="W96">
        <v>992085</v>
      </c>
      <c r="Z96">
        <f>SUM(S96:X96)</f>
        <v>3585172</v>
      </c>
      <c r="AA96" t="b">
        <f>ROUND(Y96,-1)=ROUND(O96,-1)</f>
        <v>1</v>
      </c>
      <c r="AB96" t="s">
        <v>44</v>
      </c>
      <c r="AC96" s="1">
        <v>45913</v>
      </c>
      <c r="AD96" s="1">
        <v>46439</v>
      </c>
      <c r="AE96" t="s">
        <v>69</v>
      </c>
      <c r="AG96">
        <v>1115397</v>
      </c>
      <c r="AH96">
        <v>452867</v>
      </c>
      <c r="AI96">
        <v>451858</v>
      </c>
      <c r="AK96">
        <f>SUM(AF96:AI96)</f>
        <v>2020122</v>
      </c>
    </row>
    <row r="97" spans="1:37" x14ac:dyDescent="0.25">
      <c r="A97" t="s">
        <v>37</v>
      </c>
      <c r="B97">
        <v>92</v>
      </c>
      <c r="C97" t="s">
        <v>38</v>
      </c>
      <c r="D97" t="s">
        <v>150</v>
      </c>
      <c r="E97" t="s">
        <v>117</v>
      </c>
      <c r="G97" t="s">
        <v>56</v>
      </c>
      <c r="K97" t="s">
        <v>42</v>
      </c>
      <c r="Q97" s="1">
        <v>45880</v>
      </c>
      <c r="R97" s="1">
        <v>46407</v>
      </c>
      <c r="S97">
        <f>IF(AA97="ΟΛΟΚΛΗΡΩΘΗΚΕ",100%,IFERROR(S97/O97,0%))</f>
        <v>0</v>
      </c>
      <c r="Z97">
        <f>SUM(S97:X97)</f>
        <v>0</v>
      </c>
      <c r="AA97" t="b">
        <f>ROUND(Y97,-1)=ROUND(O97,-1)</f>
        <v>0</v>
      </c>
      <c r="AB97" t="s">
        <v>52</v>
      </c>
      <c r="AE97" t="s">
        <v>54</v>
      </c>
      <c r="AG97">
        <v>510250</v>
      </c>
      <c r="AH97">
        <v>532692</v>
      </c>
      <c r="AI97">
        <v>580843</v>
      </c>
      <c r="AK97">
        <f>SUM(AF97:AI97)</f>
        <v>1623785</v>
      </c>
    </row>
    <row r="98" spans="1:37" x14ac:dyDescent="0.25">
      <c r="A98" t="s">
        <v>37</v>
      </c>
      <c r="B98">
        <v>93</v>
      </c>
      <c r="C98" t="s">
        <v>97</v>
      </c>
      <c r="D98" t="s">
        <v>158</v>
      </c>
      <c r="E98" t="s">
        <v>149</v>
      </c>
      <c r="G98" t="s">
        <v>51</v>
      </c>
      <c r="K98" t="s">
        <v>42</v>
      </c>
      <c r="L98" t="s">
        <v>42</v>
      </c>
      <c r="P98">
        <v>2379243</v>
      </c>
      <c r="Q98" s="1">
        <v>46277</v>
      </c>
      <c r="R98" s="1">
        <v>46804</v>
      </c>
      <c r="S98">
        <f>IF(AA98="ΟΛΟΚΛΗΡΩΘΗΚΕ",100%,IFERROR(S98/O98,0%))</f>
        <v>1</v>
      </c>
      <c r="T98">
        <v>2379243</v>
      </c>
      <c r="Z98">
        <f>SUM(S98:X98)</f>
        <v>2379243</v>
      </c>
      <c r="AA98" t="b">
        <f>ROUND(Y98,-1)=ROUND(O98,-1)</f>
        <v>1</v>
      </c>
      <c r="AB98" t="s">
        <v>48</v>
      </c>
      <c r="AG98">
        <v>774818</v>
      </c>
      <c r="AH98">
        <v>1182333</v>
      </c>
      <c r="AI98">
        <v>745101</v>
      </c>
      <c r="AJ98">
        <v>153376</v>
      </c>
      <c r="AK98">
        <f>SUM(AF98:AI98)</f>
        <v>2855628</v>
      </c>
    </row>
    <row r="99" spans="1:37" x14ac:dyDescent="0.25">
      <c r="A99" t="s">
        <v>37</v>
      </c>
      <c r="B99">
        <v>94</v>
      </c>
      <c r="C99" t="s">
        <v>97</v>
      </c>
      <c r="D99" t="s">
        <v>158</v>
      </c>
      <c r="E99" t="s">
        <v>159</v>
      </c>
      <c r="G99" t="s">
        <v>41</v>
      </c>
      <c r="I99" t="s">
        <v>42</v>
      </c>
      <c r="J99" t="s">
        <v>86</v>
      </c>
      <c r="K99" t="s">
        <v>42</v>
      </c>
      <c r="P99">
        <v>2125709</v>
      </c>
      <c r="Q99" s="1">
        <v>45578</v>
      </c>
      <c r="R99" s="1">
        <v>46103</v>
      </c>
      <c r="S99">
        <f>IF(AA99="ΟΛΟΚΛΗΡΩΘΗΚΕ",100%,IFERROR(S99/O99,0%))</f>
        <v>0</v>
      </c>
      <c r="V99">
        <v>526746</v>
      </c>
      <c r="W99">
        <v>290328</v>
      </c>
      <c r="X99">
        <v>1174695</v>
      </c>
      <c r="Y99">
        <v>133940</v>
      </c>
      <c r="Z99">
        <f>SUM(S99:X99)</f>
        <v>2125709</v>
      </c>
      <c r="AA99" t="b">
        <f>ROUND(Y99,-1)=ROUND(O99,-1)</f>
        <v>1</v>
      </c>
      <c r="AB99" t="s">
        <v>52</v>
      </c>
      <c r="AC99" s="1">
        <v>46007</v>
      </c>
      <c r="AD99" s="1">
        <v>46531</v>
      </c>
      <c r="AE99" t="s">
        <v>75</v>
      </c>
      <c r="AG99">
        <v>361455</v>
      </c>
      <c r="AH99">
        <v>793830</v>
      </c>
      <c r="AI99">
        <v>438641</v>
      </c>
      <c r="AK99">
        <f>SUM(AF99:AI99)</f>
        <v>1593926</v>
      </c>
    </row>
    <row r="100" spans="1:37" x14ac:dyDescent="0.25">
      <c r="A100" t="s">
        <v>37</v>
      </c>
      <c r="B100">
        <v>95</v>
      </c>
      <c r="C100" t="s">
        <v>97</v>
      </c>
      <c r="D100" t="s">
        <v>158</v>
      </c>
      <c r="E100" t="s">
        <v>40</v>
      </c>
      <c r="G100" t="s">
        <v>56</v>
      </c>
      <c r="K100" t="s">
        <v>42</v>
      </c>
      <c r="P100">
        <v>1670198</v>
      </c>
      <c r="Q100" s="1">
        <v>45975</v>
      </c>
      <c r="R100" s="1">
        <v>46500</v>
      </c>
      <c r="S100">
        <f>IF(AA100="ΟΛΟΚΛΗΡΩΘΗΚΕ",100%,IFERROR(S100/O100,0%))</f>
        <v>0</v>
      </c>
      <c r="V100">
        <v>389080</v>
      </c>
      <c r="W100">
        <v>877774</v>
      </c>
      <c r="X100">
        <v>403344</v>
      </c>
      <c r="Z100">
        <f>SUM(S100:X100)</f>
        <v>1670198</v>
      </c>
      <c r="AA100" t="b">
        <f>ROUND(Y100,-1)=ROUND(O100,-1)</f>
        <v>1</v>
      </c>
      <c r="AB100" t="s">
        <v>52</v>
      </c>
      <c r="AE100" t="s">
        <v>62</v>
      </c>
      <c r="AK100">
        <f>SUM(AF100:AI100)</f>
        <v>0</v>
      </c>
    </row>
    <row r="101" spans="1:37" x14ac:dyDescent="0.25">
      <c r="A101" t="s">
        <v>37</v>
      </c>
      <c r="B101">
        <v>96</v>
      </c>
      <c r="C101" t="s">
        <v>97</v>
      </c>
      <c r="D101" t="s">
        <v>158</v>
      </c>
      <c r="E101" t="s">
        <v>46</v>
      </c>
      <c r="G101" t="s">
        <v>160</v>
      </c>
      <c r="K101" t="s">
        <v>42</v>
      </c>
      <c r="P101">
        <v>2963178</v>
      </c>
      <c r="Q101" s="1">
        <v>46371</v>
      </c>
      <c r="R101" s="1">
        <v>46897</v>
      </c>
      <c r="S101">
        <f>IF(AA101="ΟΛΟΚΛΗΡΩΘΗΚΕ",100%,IFERROR(S101/O101,0%))</f>
        <v>0.3843285823531357</v>
      </c>
      <c r="T101">
        <v>1138834</v>
      </c>
      <c r="V101">
        <v>997132</v>
      </c>
      <c r="W101">
        <v>827212</v>
      </c>
      <c r="Z101">
        <f>SUM(S101:X101)</f>
        <v>2963178</v>
      </c>
      <c r="AA101" t="b">
        <f>ROUND(Y101,-1)=ROUND(O101,-1)</f>
        <v>1</v>
      </c>
      <c r="AB101" t="s">
        <v>44</v>
      </c>
      <c r="AG101">
        <v>715494</v>
      </c>
      <c r="AH101">
        <v>610477</v>
      </c>
      <c r="AI101">
        <v>676255</v>
      </c>
      <c r="AK101">
        <f>SUM(AF101:AI101)</f>
        <v>2002226</v>
      </c>
    </row>
    <row r="102" spans="1:37" x14ac:dyDescent="0.25">
      <c r="A102" t="s">
        <v>37</v>
      </c>
      <c r="B102">
        <v>97</v>
      </c>
      <c r="C102" t="s">
        <v>97</v>
      </c>
      <c r="D102" t="s">
        <v>158</v>
      </c>
      <c r="E102" t="s">
        <v>50</v>
      </c>
      <c r="G102" t="s">
        <v>41</v>
      </c>
      <c r="I102" t="s">
        <v>42</v>
      </c>
      <c r="K102" t="s">
        <v>42</v>
      </c>
      <c r="L102" t="s">
        <v>42</v>
      </c>
      <c r="P102">
        <v>1800119</v>
      </c>
      <c r="Q102" s="1">
        <v>45307</v>
      </c>
      <c r="R102" s="1">
        <v>46198</v>
      </c>
      <c r="S102">
        <f>IF(AA102="ΟΛΟΚΛΗΡΩΘΗΚΕ",100%,IFERROR(S102/O102,0%))</f>
        <v>1</v>
      </c>
      <c r="T102">
        <v>1800119</v>
      </c>
      <c r="Z102">
        <f>SUM(S102:X102)</f>
        <v>1800119</v>
      </c>
      <c r="AA102" t="b">
        <f>ROUND(Y102,-1)=ROUND(O102,-1)</f>
        <v>1</v>
      </c>
      <c r="AB102" t="s">
        <v>48</v>
      </c>
      <c r="AC102" s="1">
        <v>45735</v>
      </c>
      <c r="AD102" s="1">
        <v>46626</v>
      </c>
      <c r="AE102" t="s">
        <v>45</v>
      </c>
      <c r="AG102">
        <v>1276161</v>
      </c>
      <c r="AH102">
        <v>299607</v>
      </c>
      <c r="AI102">
        <v>520693</v>
      </c>
      <c r="AK102">
        <f>SUM(AF102:AI102)</f>
        <v>2096461</v>
      </c>
    </row>
    <row r="103" spans="1:37" x14ac:dyDescent="0.25">
      <c r="A103" t="s">
        <v>37</v>
      </c>
      <c r="B103" t="s">
        <v>161</v>
      </c>
      <c r="C103" t="s">
        <v>97</v>
      </c>
      <c r="D103" t="s">
        <v>158</v>
      </c>
      <c r="E103" t="s">
        <v>162</v>
      </c>
      <c r="G103" t="s">
        <v>56</v>
      </c>
      <c r="J103" t="s">
        <v>87</v>
      </c>
      <c r="K103" t="s">
        <v>42</v>
      </c>
      <c r="P103">
        <v>2507448</v>
      </c>
      <c r="Q103" s="1">
        <v>45705</v>
      </c>
      <c r="R103" s="1">
        <v>46594</v>
      </c>
      <c r="S103">
        <f>IF(AA103="ΟΛΟΚΛΗΡΩΘΗΚΕ",100%,IFERROR(S103/O103,0%))</f>
        <v>0.13236765029623745</v>
      </c>
      <c r="T103">
        <v>331905</v>
      </c>
      <c r="V103">
        <v>627905</v>
      </c>
      <c r="W103">
        <v>707746</v>
      </c>
      <c r="X103">
        <v>839892</v>
      </c>
      <c r="Z103">
        <f>SUM(S103:X103)</f>
        <v>2507448</v>
      </c>
      <c r="AA103" t="b">
        <f>ROUND(Y103,-1)=ROUND(O103,-1)</f>
        <v>1</v>
      </c>
      <c r="AB103" t="s">
        <v>52</v>
      </c>
      <c r="AE103" t="s">
        <v>49</v>
      </c>
      <c r="AG103">
        <v>1363856</v>
      </c>
      <c r="AH103">
        <v>419905</v>
      </c>
      <c r="AI103">
        <v>382621</v>
      </c>
      <c r="AJ103">
        <v>262377</v>
      </c>
      <c r="AK103">
        <f>SUM(AF103:AI103)</f>
        <v>2428759</v>
      </c>
    </row>
    <row r="104" spans="1:37" x14ac:dyDescent="0.25">
      <c r="A104" t="s">
        <v>37</v>
      </c>
      <c r="B104">
        <v>99</v>
      </c>
      <c r="C104" t="s">
        <v>97</v>
      </c>
      <c r="D104" t="s">
        <v>158</v>
      </c>
      <c r="E104" t="s">
        <v>55</v>
      </c>
      <c r="G104" t="s">
        <v>51</v>
      </c>
      <c r="K104" t="s">
        <v>42</v>
      </c>
      <c r="P104">
        <v>3452809</v>
      </c>
      <c r="Q104" s="1">
        <v>46099</v>
      </c>
      <c r="R104" s="1">
        <v>46992</v>
      </c>
      <c r="S104">
        <f>IF(AA104="ΟΛΟΚΛΗΡΩΘΗΚΕ",100%,IFERROR(S104/O104,0%))</f>
        <v>0</v>
      </c>
      <c r="V104">
        <v>1121632</v>
      </c>
      <c r="W104">
        <v>991879</v>
      </c>
      <c r="X104">
        <v>1192958</v>
      </c>
      <c r="Y104">
        <v>146340</v>
      </c>
      <c r="Z104">
        <f>SUM(S104:X104)</f>
        <v>3452809</v>
      </c>
      <c r="AA104" t="b">
        <f>ROUND(Y104,-1)=ROUND(O104,-1)</f>
        <v>1</v>
      </c>
      <c r="AB104" t="s">
        <v>52</v>
      </c>
      <c r="AG104">
        <v>618606</v>
      </c>
      <c r="AH104">
        <v>565256</v>
      </c>
      <c r="AI104">
        <v>501901</v>
      </c>
      <c r="AK104">
        <f>SUM(AF104:AI104)</f>
        <v>1685763</v>
      </c>
    </row>
    <row r="105" spans="1:37" x14ac:dyDescent="0.25">
      <c r="A105" t="s">
        <v>37</v>
      </c>
      <c r="B105">
        <v>100</v>
      </c>
      <c r="C105" t="s">
        <v>84</v>
      </c>
      <c r="D105" t="s">
        <v>163</v>
      </c>
      <c r="E105" t="s">
        <v>164</v>
      </c>
      <c r="G105" t="s">
        <v>41</v>
      </c>
      <c r="I105" t="s">
        <v>42</v>
      </c>
      <c r="K105" t="s">
        <v>42</v>
      </c>
      <c r="Q105" s="1">
        <v>45401</v>
      </c>
      <c r="R105" s="1">
        <v>46266</v>
      </c>
      <c r="S105">
        <f>IF(AA105="ΟΛΟΚΛΗΡΩΘΗΚΕ",100%,IFERROR(S105/O105,0%))</f>
        <v>0</v>
      </c>
      <c r="Z105">
        <f>SUM(S105:X105)</f>
        <v>0</v>
      </c>
      <c r="AA105" t="b">
        <f>ROUND(Y105,-1)=ROUND(O105,-1)</f>
        <v>0</v>
      </c>
      <c r="AB105" t="s">
        <v>52</v>
      </c>
      <c r="AC105" s="1">
        <v>45830</v>
      </c>
      <c r="AD105" s="1">
        <v>46694</v>
      </c>
      <c r="AE105" t="s">
        <v>54</v>
      </c>
      <c r="AK105">
        <f>SUM(AF105:AI105)</f>
        <v>0</v>
      </c>
    </row>
    <row r="106" spans="1:37" x14ac:dyDescent="0.25">
      <c r="A106" t="s">
        <v>37</v>
      </c>
      <c r="B106">
        <v>101</v>
      </c>
      <c r="C106" t="s">
        <v>84</v>
      </c>
      <c r="D106" t="s">
        <v>163</v>
      </c>
      <c r="E106" t="s">
        <v>165</v>
      </c>
      <c r="G106" t="s">
        <v>56</v>
      </c>
      <c r="K106" t="s">
        <v>42</v>
      </c>
      <c r="P106">
        <v>2485531</v>
      </c>
      <c r="Q106" s="1">
        <v>45797</v>
      </c>
      <c r="R106" s="1">
        <v>46662</v>
      </c>
      <c r="S106">
        <f>IF(AA106="ΟΛΟΚΛΗΡΩΘΗΚΕ",100%,IFERROR(S106/O106,0%))</f>
        <v>0</v>
      </c>
      <c r="V106">
        <v>749031</v>
      </c>
      <c r="W106">
        <v>1055369</v>
      </c>
      <c r="X106">
        <v>681131</v>
      </c>
      <c r="Z106">
        <f>SUM(S106:X106)</f>
        <v>2485531</v>
      </c>
      <c r="AA106" t="b">
        <f>ROUND(Y106,-1)=ROUND(O106,-1)</f>
        <v>1</v>
      </c>
      <c r="AB106" t="s">
        <v>52</v>
      </c>
      <c r="AE106" t="s">
        <v>57</v>
      </c>
      <c r="AG106">
        <v>553412</v>
      </c>
      <c r="AH106">
        <v>1166023</v>
      </c>
      <c r="AI106">
        <v>624775</v>
      </c>
      <c r="AK106">
        <f>SUM(AF106:AI106)</f>
        <v>2344210</v>
      </c>
    </row>
    <row r="107" spans="1:37" x14ac:dyDescent="0.25">
      <c r="A107" t="s">
        <v>37</v>
      </c>
      <c r="B107">
        <v>102</v>
      </c>
      <c r="C107" t="s">
        <v>84</v>
      </c>
      <c r="D107" t="s">
        <v>163</v>
      </c>
      <c r="E107" t="s">
        <v>166</v>
      </c>
      <c r="G107" t="s">
        <v>51</v>
      </c>
      <c r="J107" t="s">
        <v>89</v>
      </c>
      <c r="K107" t="s">
        <v>42</v>
      </c>
      <c r="L107" t="s">
        <v>42</v>
      </c>
      <c r="P107">
        <v>1440688</v>
      </c>
      <c r="Q107" s="1">
        <v>46194</v>
      </c>
      <c r="R107" s="1">
        <v>47060</v>
      </c>
      <c r="S107">
        <f>IF(AA107="ΟΛΟΚΛΗΡΩΘΗΚΕ",100%,IFERROR(S107/O107,0%))</f>
        <v>1</v>
      </c>
      <c r="T107">
        <v>1440688</v>
      </c>
      <c r="Z107">
        <f>SUM(S107:X107)</f>
        <v>1440688</v>
      </c>
      <c r="AA107" t="b">
        <f>ROUND(Y107,-1)=ROUND(O107,-1)</f>
        <v>1</v>
      </c>
      <c r="AB107" t="s">
        <v>48</v>
      </c>
      <c r="AG107">
        <v>493403</v>
      </c>
      <c r="AH107">
        <v>1036213</v>
      </c>
      <c r="AI107">
        <v>642181</v>
      </c>
      <c r="AK107">
        <f>SUM(AF107:AI107)</f>
        <v>2171797</v>
      </c>
    </row>
    <row r="108" spans="1:37" x14ac:dyDescent="0.25">
      <c r="A108" t="s">
        <v>37</v>
      </c>
      <c r="B108">
        <v>103</v>
      </c>
      <c r="C108" t="s">
        <v>84</v>
      </c>
      <c r="D108" t="s">
        <v>163</v>
      </c>
      <c r="E108" t="s">
        <v>167</v>
      </c>
      <c r="G108" t="s">
        <v>41</v>
      </c>
      <c r="I108" t="s">
        <v>42</v>
      </c>
      <c r="K108" t="s">
        <v>42</v>
      </c>
      <c r="P108">
        <v>1969641</v>
      </c>
      <c r="Q108" s="1">
        <v>45495</v>
      </c>
      <c r="R108" s="1">
        <v>46360</v>
      </c>
      <c r="S108">
        <f>IF(AA108="ΟΛΟΚΛΗΡΩΘΗΚΕ",100%,IFERROR(S108/O108,0%))</f>
        <v>0.2631139380222081</v>
      </c>
      <c r="T108">
        <v>518240</v>
      </c>
      <c r="V108">
        <v>349007</v>
      </c>
      <c r="W108">
        <v>858345</v>
      </c>
      <c r="X108">
        <v>244049</v>
      </c>
      <c r="Z108">
        <f>SUM(S108:X108)</f>
        <v>1969641</v>
      </c>
      <c r="AA108" t="b">
        <f>ROUND(Y108,-1)=ROUND(O108,-1)</f>
        <v>1</v>
      </c>
      <c r="AB108" t="s">
        <v>52</v>
      </c>
      <c r="AC108" s="1">
        <v>45925</v>
      </c>
      <c r="AD108" s="1">
        <v>46424</v>
      </c>
      <c r="AE108" t="s">
        <v>62</v>
      </c>
      <c r="AG108">
        <v>539837</v>
      </c>
      <c r="AH108">
        <v>1005787</v>
      </c>
      <c r="AI108">
        <v>736528</v>
      </c>
      <c r="AJ108">
        <v>156653</v>
      </c>
      <c r="AK108">
        <f>SUM(AF108:AI108)</f>
        <v>2438805</v>
      </c>
    </row>
    <row r="109" spans="1:37" x14ac:dyDescent="0.25">
      <c r="A109" t="s">
        <v>37</v>
      </c>
      <c r="B109">
        <v>104</v>
      </c>
      <c r="C109" t="s">
        <v>84</v>
      </c>
      <c r="D109" t="s">
        <v>163</v>
      </c>
      <c r="E109" t="s">
        <v>168</v>
      </c>
      <c r="G109" t="s">
        <v>56</v>
      </c>
      <c r="K109" t="s">
        <v>42</v>
      </c>
      <c r="P109">
        <v>1930791</v>
      </c>
      <c r="Q109" s="1">
        <v>45892</v>
      </c>
      <c r="R109" s="1">
        <v>46392</v>
      </c>
      <c r="S109">
        <f>IF(AA109="ΟΛΟΚΛΗΡΩΘΗΚΕ",100%,IFERROR(S109/O109,0%))</f>
        <v>0</v>
      </c>
      <c r="V109">
        <v>245244</v>
      </c>
      <c r="W109">
        <v>879392</v>
      </c>
      <c r="X109">
        <v>679584</v>
      </c>
      <c r="Y109">
        <v>126571</v>
      </c>
      <c r="Z109">
        <f>SUM(S109:X109)</f>
        <v>1930791</v>
      </c>
      <c r="AA109" t="b">
        <f>ROUND(Y109,-1)=ROUND(O109,-1)</f>
        <v>1</v>
      </c>
      <c r="AB109" t="s">
        <v>52</v>
      </c>
      <c r="AE109" t="s">
        <v>64</v>
      </c>
      <c r="AG109">
        <v>581232</v>
      </c>
      <c r="AH109">
        <v>751422</v>
      </c>
      <c r="AI109">
        <v>603430</v>
      </c>
      <c r="AK109">
        <f>SUM(AF109:AI109)</f>
        <v>1936084</v>
      </c>
    </row>
    <row r="110" spans="1:37" x14ac:dyDescent="0.25">
      <c r="A110" t="s">
        <v>37</v>
      </c>
      <c r="C110" t="s">
        <v>169</v>
      </c>
      <c r="D110" t="s">
        <v>170</v>
      </c>
      <c r="E110" t="s">
        <v>78</v>
      </c>
      <c r="G110" t="s">
        <v>51</v>
      </c>
      <c r="K110" t="s">
        <v>42</v>
      </c>
      <c r="P110">
        <v>1787585</v>
      </c>
      <c r="Q110" s="1">
        <v>46289</v>
      </c>
      <c r="R110" s="1">
        <v>46789</v>
      </c>
      <c r="S110">
        <f>IF(AA110="ΟΛΟΚΛΗΡΩΘΗΚΕ",100%,IFERROR(S110/O110,0%))</f>
        <v>0</v>
      </c>
      <c r="V110">
        <v>258065</v>
      </c>
      <c r="W110">
        <v>649942</v>
      </c>
      <c r="X110">
        <v>879578</v>
      </c>
      <c r="Z110">
        <f>SUM(S110:X110)</f>
        <v>1787585</v>
      </c>
      <c r="AA110" t="b">
        <f>ROUND(Y110,-1)=ROUND(O110,-1)</f>
        <v>1</v>
      </c>
      <c r="AB110" t="s">
        <v>52</v>
      </c>
      <c r="AK110">
        <f>SUM(AF110:AI110)</f>
        <v>0</v>
      </c>
    </row>
    <row r="111" spans="1:37" x14ac:dyDescent="0.25">
      <c r="A111" t="s">
        <v>37</v>
      </c>
      <c r="B111">
        <v>106</v>
      </c>
      <c r="C111" t="s">
        <v>169</v>
      </c>
      <c r="D111" t="s">
        <v>170</v>
      </c>
      <c r="E111" t="s">
        <v>80</v>
      </c>
      <c r="G111" t="s">
        <v>41</v>
      </c>
      <c r="I111" t="s">
        <v>42</v>
      </c>
      <c r="J111" t="s">
        <v>96</v>
      </c>
      <c r="K111" t="s">
        <v>42</v>
      </c>
      <c r="P111">
        <v>3353200</v>
      </c>
      <c r="Q111" s="1">
        <v>45590</v>
      </c>
      <c r="R111" s="1">
        <v>46088</v>
      </c>
      <c r="S111">
        <f>IF(AA111="ΟΛΟΚΛΗΡΩΘΗΚΕ",100%,IFERROR(S111/O111,0%))</f>
        <v>0.042956877013002506</v>
      </c>
      <c r="T111">
        <v>144043</v>
      </c>
      <c r="V111">
        <v>815068</v>
      </c>
      <c r="W111">
        <v>1502869</v>
      </c>
      <c r="X111">
        <v>891220</v>
      </c>
      <c r="Z111">
        <f>SUM(S111:X111)</f>
        <v>3353200</v>
      </c>
      <c r="AA111" t="b">
        <f>ROUND(Y111,-1)=ROUND(O111,-1)</f>
        <v>1</v>
      </c>
      <c r="AB111" t="s">
        <v>52</v>
      </c>
      <c r="AC111" s="1">
        <v>45992</v>
      </c>
      <c r="AD111" s="1">
        <v>46516</v>
      </c>
      <c r="AE111" t="s">
        <v>49</v>
      </c>
      <c r="AG111">
        <v>845084</v>
      </c>
      <c r="AH111">
        <v>1128147</v>
      </c>
      <c r="AI111">
        <v>438519</v>
      </c>
      <c r="AK111">
        <f>SUM(AF111:AI111)</f>
        <v>2411750</v>
      </c>
    </row>
    <row r="112" spans="1:37" x14ac:dyDescent="0.25">
      <c r="A112" t="s">
        <v>37</v>
      </c>
      <c r="B112">
        <v>107</v>
      </c>
      <c r="C112" t="s">
        <v>169</v>
      </c>
      <c r="D112" t="s">
        <v>170</v>
      </c>
      <c r="E112" t="s">
        <v>82</v>
      </c>
      <c r="G112" t="s">
        <v>56</v>
      </c>
      <c r="K112" t="s">
        <v>42</v>
      </c>
      <c r="Q112" s="1">
        <v>45987</v>
      </c>
      <c r="R112" s="1">
        <v>46485</v>
      </c>
      <c r="S112">
        <f>IF(AA112="ΟΛΟΚΛΗΡΩΘΗΚΕ",100%,IFERROR(S112/O112,0%))</f>
        <v>0</v>
      </c>
      <c r="Z112">
        <f>SUM(S112:X112)</f>
        <v>0</v>
      </c>
      <c r="AA112" t="b">
        <f>ROUND(Y112,-1)=ROUND(O112,-1)</f>
        <v>0</v>
      </c>
      <c r="AB112" t="s">
        <v>52</v>
      </c>
      <c r="AE112" t="s">
        <v>69</v>
      </c>
      <c r="AG112">
        <v>824011</v>
      </c>
      <c r="AH112">
        <v>1054251</v>
      </c>
      <c r="AI112">
        <v>400893</v>
      </c>
      <c r="AK112">
        <f>SUM(AF112:AI112)</f>
        <v>2279155</v>
      </c>
    </row>
    <row r="113" spans="1:37" x14ac:dyDescent="0.25">
      <c r="A113" t="s">
        <v>37</v>
      </c>
      <c r="B113">
        <v>108</v>
      </c>
      <c r="C113" t="s">
        <v>169</v>
      </c>
      <c r="D113" t="s">
        <v>170</v>
      </c>
      <c r="E113" t="s">
        <v>83</v>
      </c>
      <c r="G113" t="s">
        <v>51</v>
      </c>
      <c r="K113" t="s">
        <v>42</v>
      </c>
      <c r="P113">
        <v>2293479</v>
      </c>
      <c r="Q113" s="1">
        <v>46383</v>
      </c>
      <c r="R113" s="1">
        <v>46882</v>
      </c>
      <c r="S113">
        <f>IF(AA113="ΟΛΟΚΛΗΡΩΘΗΚΕ",100%,IFERROR(S113/O113,0%))</f>
        <v>0</v>
      </c>
      <c r="V113">
        <v>879603</v>
      </c>
      <c r="W113">
        <v>370811</v>
      </c>
      <c r="X113">
        <v>871052</v>
      </c>
      <c r="Y113">
        <v>172013</v>
      </c>
      <c r="Z113">
        <f>SUM(S113:X113)</f>
        <v>2293479</v>
      </c>
      <c r="AA113" t="b">
        <f>ROUND(Y113,-1)=ROUND(O113,-1)</f>
        <v>1</v>
      </c>
      <c r="AB113" t="s">
        <v>52</v>
      </c>
      <c r="AG113">
        <v>371700</v>
      </c>
      <c r="AH113">
        <v>857977</v>
      </c>
      <c r="AI113">
        <v>248256</v>
      </c>
      <c r="AJ113">
        <v>56435</v>
      </c>
      <c r="AK113">
        <f>SUM(AF113:AI113)</f>
        <v>1534368</v>
      </c>
    </row>
    <row r="114" spans="1:37" x14ac:dyDescent="0.25">
      <c r="A114" t="s">
        <v>37</v>
      </c>
      <c r="B114">
        <v>109</v>
      </c>
      <c r="C114" t="s">
        <v>169</v>
      </c>
      <c r="D114" t="s">
        <v>170</v>
      </c>
      <c r="E114" t="s">
        <v>90</v>
      </c>
      <c r="G114" t="s">
        <v>41</v>
      </c>
      <c r="I114" t="s">
        <v>42</v>
      </c>
      <c r="K114" t="s">
        <v>42</v>
      </c>
      <c r="P114">
        <v>2390071</v>
      </c>
      <c r="Q114" s="1">
        <v>45292</v>
      </c>
      <c r="R114" s="1">
        <v>46183</v>
      </c>
      <c r="S114">
        <f>IF(AA114="ΟΛΟΚΛΗΡΩΘΗΚΕ",100%,IFERROR(S114/O114,0%))</f>
        <v>0</v>
      </c>
      <c r="V114">
        <v>825257</v>
      </c>
      <c r="W114">
        <v>660429</v>
      </c>
      <c r="X114">
        <v>904385</v>
      </c>
      <c r="Z114">
        <f>SUM(S114:X114)</f>
        <v>2390071</v>
      </c>
      <c r="AA114" t="b">
        <f>ROUND(Y114,-1)=ROUND(O114,-1)</f>
        <v>1</v>
      </c>
      <c r="AB114" t="s">
        <v>52</v>
      </c>
      <c r="AC114" s="1">
        <v>45720</v>
      </c>
      <c r="AD114" s="1">
        <v>46611</v>
      </c>
      <c r="AE114" t="s">
        <v>57</v>
      </c>
      <c r="AG114">
        <v>823147</v>
      </c>
      <c r="AH114">
        <v>779062</v>
      </c>
      <c r="AI114">
        <v>558177</v>
      </c>
      <c r="AK114">
        <f>SUM(AF114:AI114)</f>
        <v>2160386</v>
      </c>
    </row>
    <row r="115" spans="1:37" x14ac:dyDescent="0.25">
      <c r="A115" t="s">
        <v>37</v>
      </c>
      <c r="B115">
        <v>110</v>
      </c>
      <c r="C115" t="s">
        <v>171</v>
      </c>
      <c r="D115" t="s">
        <v>171</v>
      </c>
      <c r="E115" t="s">
        <v>172</v>
      </c>
      <c r="G115" t="s">
        <v>56</v>
      </c>
      <c r="J115" t="s">
        <v>47</v>
      </c>
      <c r="K115" t="s">
        <v>42</v>
      </c>
      <c r="P115">
        <v>2704797</v>
      </c>
      <c r="Q115" s="1">
        <v>45690</v>
      </c>
      <c r="R115" s="1">
        <v>46579</v>
      </c>
      <c r="S115">
        <f>IF(AA115="ΟΛΟΚΛΗΡΩΘΗΚΕ",100%,IFERROR(S115/O115,0%))</f>
        <v>0.1611115362816507</v>
      </c>
      <c r="T115">
        <v>435774</v>
      </c>
      <c r="V115">
        <v>651939</v>
      </c>
      <c r="W115">
        <v>326664</v>
      </c>
      <c r="X115">
        <v>1290420</v>
      </c>
      <c r="Z115">
        <f>SUM(S115:X115)</f>
        <v>2704797</v>
      </c>
      <c r="AA115" t="b">
        <f>ROUND(Y115,-1)=ROUND(O115,-1)</f>
        <v>1</v>
      </c>
      <c r="AB115" t="s">
        <v>52</v>
      </c>
      <c r="AE115" t="s">
        <v>75</v>
      </c>
      <c r="AK115">
        <f>SUM(AF115:AI115)</f>
        <v>0</v>
      </c>
    </row>
    <row r="116" spans="1:37" x14ac:dyDescent="0.25">
      <c r="A116" t="s">
        <v>37</v>
      </c>
      <c r="B116">
        <v>111</v>
      </c>
      <c r="C116" t="s">
        <v>171</v>
      </c>
      <c r="D116" t="s">
        <v>171</v>
      </c>
      <c r="E116" t="s">
        <v>173</v>
      </c>
      <c r="G116" t="s">
        <v>51</v>
      </c>
      <c r="K116" t="s">
        <v>42</v>
      </c>
      <c r="P116">
        <v>2731829</v>
      </c>
      <c r="Q116" s="1">
        <v>46084</v>
      </c>
      <c r="R116" s="1">
        <v>46977</v>
      </c>
      <c r="S116">
        <f>IF(AA116="ΟΛΟΚΛΗΡΩΘΗΚΕ",100%,IFERROR(S116/O116,0%))</f>
        <v>0</v>
      </c>
      <c r="V116">
        <v>1026376</v>
      </c>
      <c r="W116">
        <v>1286551</v>
      </c>
      <c r="X116">
        <v>283057</v>
      </c>
      <c r="Y116">
        <v>135845</v>
      </c>
      <c r="Z116">
        <f>SUM(S116:X116)</f>
        <v>2731829</v>
      </c>
      <c r="AA116" t="b">
        <f>ROUND(Y116,-1)=ROUND(O116,-1)</f>
        <v>1</v>
      </c>
      <c r="AB116" t="s">
        <v>52</v>
      </c>
      <c r="AG116">
        <v>424240</v>
      </c>
      <c r="AH116">
        <v>731617</v>
      </c>
      <c r="AI116">
        <v>721402</v>
      </c>
      <c r="AK116">
        <f>SUM(AF116:AI116)</f>
        <v>1877259</v>
      </c>
    </row>
    <row r="117" spans="1:37" x14ac:dyDescent="0.25">
      <c r="A117" t="s">
        <v>37</v>
      </c>
      <c r="B117">
        <v>112</v>
      </c>
      <c r="C117" t="s">
        <v>171</v>
      </c>
      <c r="D117" t="s">
        <v>171</v>
      </c>
      <c r="E117" t="s">
        <v>174</v>
      </c>
      <c r="G117" t="s">
        <v>41</v>
      </c>
      <c r="I117" t="s">
        <v>42</v>
      </c>
      <c r="K117" t="s">
        <v>42</v>
      </c>
      <c r="P117">
        <v>2173562</v>
      </c>
      <c r="Q117" s="1">
        <v>45386</v>
      </c>
      <c r="R117" s="1">
        <v>46278</v>
      </c>
      <c r="S117">
        <f>IF(AA117="ΟΛΟΚΛΗΡΩΘΗΚΕ",100%,IFERROR(S117/O117,0%))</f>
        <v>0</v>
      </c>
      <c r="V117">
        <v>575187</v>
      </c>
      <c r="W117">
        <v>1453739</v>
      </c>
      <c r="X117">
        <v>144636</v>
      </c>
      <c r="Z117">
        <f>SUM(S117:X117)</f>
        <v>2173562</v>
      </c>
      <c r="AA117" t="b">
        <f>ROUND(Y117,-1)=ROUND(O117,-1)</f>
        <v>1</v>
      </c>
      <c r="AB117" t="s">
        <v>52</v>
      </c>
      <c r="AC117" s="1">
        <v>45815</v>
      </c>
      <c r="AD117" s="1">
        <v>46706</v>
      </c>
      <c r="AG117">
        <v>271567</v>
      </c>
      <c r="AH117">
        <v>314362</v>
      </c>
      <c r="AI117">
        <v>509465</v>
      </c>
      <c r="AK117">
        <f>SUM(AF117:AI117)</f>
        <v>1095394</v>
      </c>
    </row>
    <row r="118" spans="1:37" x14ac:dyDescent="0.25">
      <c r="A118" t="s">
        <v>37</v>
      </c>
      <c r="B118">
        <v>113</v>
      </c>
      <c r="C118" t="s">
        <v>171</v>
      </c>
      <c r="D118" t="s">
        <v>171</v>
      </c>
      <c r="E118" t="s">
        <v>175</v>
      </c>
      <c r="G118" t="s">
        <v>56</v>
      </c>
      <c r="K118" t="s">
        <v>42</v>
      </c>
      <c r="P118">
        <v>2371418</v>
      </c>
      <c r="Q118" s="1">
        <v>45782</v>
      </c>
      <c r="R118" s="1">
        <v>46674</v>
      </c>
      <c r="S118">
        <f>IF(AA118="ΟΛΟΚΛΗΡΩΘΗΚΕ",100%,IFERROR(S118/O118,0%))</f>
        <v>0.04725695765149796</v>
      </c>
      <c r="T118">
        <v>112066</v>
      </c>
      <c r="V118">
        <v>669769</v>
      </c>
      <c r="W118">
        <v>1035989</v>
      </c>
      <c r="X118">
        <v>553594</v>
      </c>
      <c r="Z118">
        <f>SUM(S118:X118)</f>
        <v>2371418</v>
      </c>
      <c r="AA118" t="b">
        <f>ROUND(Y118,-1)=ROUND(O118,-1)</f>
        <v>1</v>
      </c>
      <c r="AB118" t="s">
        <v>52</v>
      </c>
      <c r="AG118">
        <v>316823</v>
      </c>
      <c r="AH118">
        <v>206941</v>
      </c>
      <c r="AI118">
        <v>117955</v>
      </c>
      <c r="AJ118">
        <v>293707</v>
      </c>
      <c r="AK118">
        <f>SUM(AF118:AI118)</f>
        <v>935426</v>
      </c>
    </row>
    <row r="123" spans="1:36" x14ac:dyDescent="0.25">
      <c r="A123" t="s">
        <v>37</v>
      </c>
      <c r="D123" t="s">
        <v>39</v>
      </c>
      <c r="E123" t="s">
        <v>176</v>
      </c>
      <c r="P123">
        <f>SUM(P6:P118)</f>
        <v>275087583</v>
      </c>
      <c r="T123">
        <f>SUM(T6:T118)</f>
        <v>101113949</v>
      </c>
      <c r="V123">
        <f>SUM(V6:V118)</f>
        <v>65224025</v>
      </c>
      <c r="W123">
        <f>SUM(W6:W118)</f>
        <v>62897204</v>
      </c>
      <c r="X123">
        <f>SUM(X6:X118)</f>
        <v>44630443</v>
      </c>
      <c r="Y123">
        <f>SUM(Y6:Y118)</f>
        <v>2616272</v>
      </c>
      <c r="AG123">
        <f>SUM(AG6:AG118)</f>
        <v>71591105</v>
      </c>
      <c r="AH123">
        <f>SUM(AH6:AH118)</f>
        <v>66004161</v>
      </c>
      <c r="AI123">
        <f>SUM(AI6:AI118)</f>
        <v>42672530</v>
      </c>
      <c r="AJ123">
        <f>SUM(AJ6:AJ118)</f>
        <v>3970001</v>
      </c>
    </row>
    <row r="126" spans="5:24" x14ac:dyDescent="0.25">
      <c r="E126" t="s">
        <v>177</v>
      </c>
      <c r="P126">
        <v>69222423</v>
      </c>
      <c r="V126">
        <v>31150090</v>
      </c>
      <c r="W126">
        <v>24227848</v>
      </c>
      <c r="X126">
        <v>13844485</v>
      </c>
    </row>
    <row r="128" spans="5:23" x14ac:dyDescent="0.25">
      <c r="E128" t="s">
        <v>178</v>
      </c>
      <c r="P128">
        <v>-69222423</v>
      </c>
      <c r="V128">
        <v>-31150090</v>
      </c>
      <c r="W128">
        <v>-24227848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Α)Capex Plan-Updated - clean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eCapital fixture builder</dc:creator>
  <dc:title/>
  <dc:subject/>
  <dc:description/>
  <cp:keywords/>
  <cp:category/>
  <cp:lastModifiedBy>Unknown</cp:lastModifiedBy>
  <dcterms:created xsi:type="dcterms:W3CDTF">2026-02-19T00:00:00Z</dcterms:created>
  <dcterms:modified xsi:type="dcterms:W3CDTF">2026-02-19T00:00:00Z</dcterms:modified>
</cp:coreProperties>
</file>